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370" yWindow="-120" windowWidth="29040" windowHeight="15720" tabRatio="500" firstSheet="0" activeTab="0" autoFilterDateGrouping="1"/>
  </bookViews>
  <sheets>
    <sheet xmlns:r="http://schemas.openxmlformats.org/officeDocument/2006/relationships" name="Summary" sheetId="1" state="visible" r:id="rId1"/>
    <sheet xmlns:r="http://schemas.openxmlformats.org/officeDocument/2006/relationships" name="Scenarios" sheetId="2" state="visible" r:id="rId2"/>
    <sheet xmlns:r="http://schemas.openxmlformats.org/officeDocument/2006/relationships" name="Market_Rents" sheetId="3" state="visible" r:id="rId3"/>
    <sheet xmlns:r="http://schemas.openxmlformats.org/officeDocument/2006/relationships" name="Assumptions" sheetId="4" state="visible" r:id="rId4"/>
    <sheet xmlns:r="http://schemas.openxmlformats.org/officeDocument/2006/relationships" name="Income_Statement" sheetId="5" state="visible" r:id="rId5"/>
    <sheet xmlns:r="http://schemas.openxmlformats.org/officeDocument/2006/relationships" name="Cash_Flow_10yr" sheetId="6" state="visible" r:id="rId6"/>
    <sheet xmlns:r="http://schemas.openxmlformats.org/officeDocument/2006/relationships" name="Refi_Timeline" sheetId="7" state="visible" r:id="rId7"/>
    <sheet xmlns:r="http://schemas.openxmlformats.org/officeDocument/2006/relationships" name="Refi_Analysis" sheetId="8" state="visible" r:id="rId8"/>
    <sheet xmlns:r="http://schemas.openxmlformats.org/officeDocument/2006/relationships" name="Deal_Score" sheetId="9" state="visible" r:id="rId9"/>
    <sheet xmlns:r="http://schemas.openxmlformats.org/officeDocument/2006/relationships" name="Kill_Flags" sheetId="10" state="visible" r:id="rId10"/>
    <sheet xmlns:r="http://schemas.openxmlformats.org/officeDocument/2006/relationships" name="Offers" sheetId="11" state="visible" r:id="rId11"/>
    <sheet xmlns:r="http://schemas.openxmlformats.org/officeDocument/2006/relationships" name="Land" sheetId="12" state="visible" r:id="rId12"/>
    <sheet xmlns:r="http://schemas.openxmlformats.org/officeDocument/2006/relationships" name="Leasehold" sheetId="13" state="visible" r:id="rId13"/>
    <sheet xmlns:r="http://schemas.openxmlformats.org/officeDocument/2006/relationships" name="Recovery" sheetId="14" state="visible" r:id="rId14"/>
    <sheet xmlns:r="http://schemas.openxmlformats.org/officeDocument/2006/relationships" name="Partners" sheetId="15" state="visible" r:id="rId15"/>
  </sheets>
  <definedNames/>
  <calcPr calcId="191029" fullCalcOnLoad="1" iterateDelta="0.0001"/>
</workbook>
</file>

<file path=xl/styles.xml><?xml version="1.0" encoding="utf-8"?>
<styleSheet xmlns="http://schemas.openxmlformats.org/spreadsheetml/2006/main">
  <numFmts count="7">
    <numFmt numFmtId="164" formatCode="0.0%;\(0.0%\);\-"/>
    <numFmt numFmtId="165" formatCode="\$#,##0;&quot;($&quot;#,##0\);\-"/>
    <numFmt numFmtId="166" formatCode="#,##0;\(#,##0\);\-"/>
    <numFmt numFmtId="167" formatCode="0.00\x"/>
    <numFmt numFmtId="168" formatCode="\$0.00"/>
    <numFmt numFmtId="169" formatCode="#,##0.00;\(#,##0.00\);\-"/>
    <numFmt numFmtId="170" formatCode="yyyy-mm-dd"/>
  </numFmts>
  <fonts count="34">
    <font>
      <name val="Calibri"/>
      <charset val="1"/>
      <family val="2"/>
      <color theme="1"/>
      <sz val="11"/>
    </font>
    <font>
      <name val="Arial"/>
      <charset val="1"/>
      <b val="1"/>
      <color rgb="FFFFFFFF"/>
      <sz val="16"/>
    </font>
    <font>
      <name val="Arial"/>
      <charset val="1"/>
      <b val="1"/>
      <color rgb="FFFFFFFF"/>
      <sz val="12"/>
    </font>
    <font>
      <name val="Arial"/>
      <charset val="1"/>
      <b val="1"/>
      <color rgb="FFFFFFFF"/>
      <sz val="11"/>
    </font>
    <font>
      <name val="Arial"/>
      <charset val="1"/>
      <b val="1"/>
      <color rgb="FF000000"/>
      <sz val="11"/>
    </font>
    <font>
      <name val="Arial"/>
      <charset val="1"/>
      <b val="1"/>
      <color rgb="FF008000"/>
      <sz val="11"/>
    </font>
    <font>
      <name val="Arial"/>
      <charset val="1"/>
      <sz val="11"/>
    </font>
    <font>
      <name val="Arial"/>
      <charset val="1"/>
      <color rgb="FF008000"/>
      <sz val="11"/>
    </font>
    <font>
      <name val="Arial"/>
      <charset val="1"/>
      <color rgb="FF000000"/>
      <sz val="11"/>
    </font>
    <font>
      <name val="Arial"/>
      <charset val="1"/>
      <b val="1"/>
      <sz val="11"/>
    </font>
    <font>
      <name val="Arial"/>
      <charset val="1"/>
      <color rgb="FF0000FF"/>
      <sz val="11"/>
    </font>
    <font>
      <name val="Arial"/>
      <charset val="1"/>
      <i val="1"/>
      <sz val="11"/>
    </font>
    <font>
      <name val="Arial"/>
      <charset val="1"/>
      <b val="1"/>
      <sz val="14"/>
    </font>
    <font>
      <name val="Arial"/>
      <charset val="1"/>
      <i val="1"/>
      <color rgb="FF3F3F3F"/>
      <sz val="10"/>
    </font>
    <font>
      <name val="Arial"/>
      <charset val="1"/>
      <b val="1"/>
      <color rgb="FF006100"/>
      <sz val="12"/>
    </font>
    <font>
      <name val="Arial"/>
      <charset val="1"/>
      <b val="1"/>
      <color rgb="FF006100"/>
      <sz val="14"/>
    </font>
    <font>
      <name val="Arial"/>
      <charset val="1"/>
      <b val="1"/>
      <color rgb="FF9C0006"/>
      <sz val="12"/>
    </font>
    <font>
      <name val="Arial"/>
      <charset val="1"/>
      <i val="1"/>
      <sz val="10"/>
    </font>
    <font>
      <name val="Arial"/>
      <family val="2"/>
      <sz val="10"/>
    </font>
    <font>
      <name val="Arial"/>
      <charset val="1"/>
      <b val="1"/>
      <color rgb="FF0000FF"/>
      <sz val="11"/>
    </font>
    <font>
      <name val="Arial"/>
      <charset val="1"/>
      <b val="1"/>
      <color rgb="FF595959"/>
      <sz val="10"/>
    </font>
    <font>
      <name val="Arial"/>
      <charset val="1"/>
      <i val="1"/>
      <sz val="9"/>
    </font>
    <font>
      <name val="Arial"/>
      <charset val="1"/>
      <i val="1"/>
      <color rgb="FFFFFFFF"/>
      <sz val="11"/>
    </font>
    <font>
      <name val="Arial"/>
      <charset val="1"/>
      <b val="1"/>
      <color rgb="FFFFFFFF"/>
      <sz val="14"/>
    </font>
    <font>
      <name val="Arial"/>
      <charset val="1"/>
      <b val="1"/>
      <sz val="12"/>
    </font>
    <font>
      <b val="1"/>
      <color rgb="FFFFFFFF"/>
      <sz val="16"/>
    </font>
    <font>
      <i val="1"/>
      <color rgb="FF595959"/>
      <sz val="9"/>
    </font>
    <font>
      <b val="1"/>
      <color rgb="FF1F3864"/>
      <sz val="11"/>
    </font>
    <font>
      <color rgb="FF0000FF"/>
    </font>
    <font>
      <b val="1"/>
      <color rgb="FF0000FF"/>
    </font>
    <font>
      <color rgb="FF000000"/>
    </font>
    <font>
      <b val="1"/>
      <color rgb="FF000000"/>
    </font>
    <font>
      <b val="1"/>
      <color rgb="FF1F3864"/>
    </font>
    <font>
      <b val="1"/>
      <color rgb="FFC00000"/>
    </font>
  </fonts>
  <fills count="13">
    <fill>
      <patternFill/>
    </fill>
    <fill>
      <patternFill patternType="gray125"/>
    </fill>
    <fill>
      <patternFill patternType="solid">
        <fgColor rgb="FF1F3864"/>
        <bgColor rgb="FF3F3F3F"/>
      </patternFill>
    </fill>
    <fill>
      <patternFill patternType="solid">
        <fgColor rgb="FF5B9BD5"/>
        <bgColor rgb="FF969696"/>
      </patternFill>
    </fill>
    <fill>
      <patternFill patternType="solid">
        <fgColor rgb="FF2E5597"/>
        <bgColor rgb="FF1F3864"/>
      </patternFill>
    </fill>
    <fill>
      <patternFill patternType="solid">
        <fgColor rgb="FFFFFF00"/>
        <bgColor rgb="FFFFFF00"/>
      </patternFill>
    </fill>
    <fill>
      <patternFill patternType="solid">
        <fgColor rgb="FFDEEBF7"/>
        <bgColor rgb="FFD9D9D9"/>
      </patternFill>
    </fill>
    <fill>
      <patternFill patternType="solid">
        <fgColor rgb="FFFFD966"/>
        <bgColor rgb="FFFFEB9C"/>
      </patternFill>
    </fill>
    <fill>
      <patternFill patternType="solid">
        <fgColor rgb="FFC6EFCE"/>
        <bgColor rgb="FFDEEBF7"/>
      </patternFill>
    </fill>
    <fill>
      <patternFill patternType="solid">
        <fgColor rgb="FFFFEB9C"/>
        <bgColor rgb="FFFFFFCC"/>
      </patternFill>
    </fill>
    <fill>
      <patternFill patternType="solid">
        <fgColor rgb="FFD9D9D9"/>
        <bgColor rgb="FFDEEBF7"/>
      </patternFill>
    </fill>
    <fill>
      <patternFill patternType="solid">
        <fgColor rgb="FF1F3864"/>
      </patternFill>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7">
    <xf numFmtId="0" fontId="0" fillId="0" borderId="0" pivotButton="0" quotePrefix="0" xfId="0"/>
    <xf numFmtId="164" fontId="8" fillId="6" borderId="0" applyAlignment="1" pivotButton="0" quotePrefix="0" xfId="0">
      <alignment horizontal="right" vertical="center"/>
    </xf>
    <xf numFmtId="0" fontId="20" fillId="10" borderId="0" applyAlignment="1" pivotButton="0" quotePrefix="0" xfId="0">
      <alignment horizontal="left" vertical="center" wrapText="1"/>
    </xf>
    <xf numFmtId="0" fontId="2" fillId="4" borderId="0" applyAlignment="1" pivotButton="0" quotePrefix="0" xfId="0">
      <alignment horizontal="left" vertical="center" wrapText="1"/>
    </xf>
    <xf numFmtId="0" fontId="16" fillId="9" borderId="0" applyAlignment="1" pivotButton="0" quotePrefix="0" xfId="0">
      <alignment horizontal="center" vertical="center" wrapText="1"/>
    </xf>
    <xf numFmtId="0" fontId="2" fillId="3" borderId="0" applyAlignment="1" pivotButton="0" quotePrefix="0" xfId="0">
      <alignment horizontal="left" vertical="center" wrapText="1"/>
    </xf>
    <xf numFmtId="0" fontId="17" fillId="0" borderId="0" applyAlignment="1" pivotButton="0" quotePrefix="0" xfId="0">
      <alignment horizontal="left" vertical="center" wrapText="1"/>
    </xf>
    <xf numFmtId="0" fontId="13" fillId="6" borderId="0" applyAlignment="1" pivotButton="0" quotePrefix="0" xfId="0">
      <alignment horizontal="left" vertical="center" wrapText="1"/>
    </xf>
    <xf numFmtId="0" fontId="3" fillId="4" borderId="0" applyAlignment="1" pivotButton="0" quotePrefix="0" xfId="0">
      <alignment horizontal="left" vertical="center" wrapText="1"/>
    </xf>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2" fillId="3" borderId="0" applyAlignment="1" pivotButton="0" quotePrefix="0" xfId="0">
      <alignment horizontal="center" vertical="center" wrapText="1"/>
    </xf>
    <xf numFmtId="0" fontId="4" fillId="0" borderId="0" applyAlignment="1" pivotButton="0" quotePrefix="0" xfId="0">
      <alignment horizontal="left" vertical="center" wrapText="1"/>
    </xf>
    <xf numFmtId="165" fontId="5" fillId="0" borderId="0" applyAlignment="1" pivotButton="0" quotePrefix="0" xfId="0">
      <alignment horizontal="right" vertical="center"/>
    </xf>
    <xf numFmtId="0" fontId="6" fillId="0" borderId="0" applyAlignment="1" pivotButton="0" quotePrefix="0" xfId="0">
      <alignment horizontal="left" vertical="center" wrapText="1"/>
    </xf>
    <xf numFmtId="166" fontId="7" fillId="0" borderId="0" applyAlignment="1" pivotButton="0" quotePrefix="0" xfId="0">
      <alignment horizontal="right" vertical="center"/>
    </xf>
    <xf numFmtId="165" fontId="7" fillId="0" borderId="0" applyAlignment="1" pivotButton="0" quotePrefix="0" xfId="0">
      <alignment horizontal="right" vertical="center"/>
    </xf>
    <xf numFmtId="164" fontId="5" fillId="0" borderId="0" applyAlignment="1" pivotButton="0" quotePrefix="0" xfId="0">
      <alignment horizontal="right" vertical="center"/>
    </xf>
    <xf numFmtId="165" fontId="4" fillId="0" borderId="0" applyAlignment="1" pivotButton="0" quotePrefix="0" xfId="0">
      <alignment horizontal="right" vertical="center"/>
    </xf>
    <xf numFmtId="165" fontId="8" fillId="0" borderId="0" applyAlignment="1" pivotButton="0" quotePrefix="0" xfId="0">
      <alignment horizontal="right" vertical="center"/>
    </xf>
    <xf numFmtId="164" fontId="7" fillId="0" borderId="0" applyAlignment="1" pivotButton="0" quotePrefix="0" xfId="0">
      <alignment horizontal="right" vertical="center"/>
    </xf>
    <xf numFmtId="167" fontId="5" fillId="0" borderId="0" applyAlignment="1" pivotButton="0" quotePrefix="0" xfId="0">
      <alignment horizontal="right" vertical="center"/>
    </xf>
    <xf numFmtId="0" fontId="5" fillId="0" borderId="0" applyAlignment="1" pivotButton="0" quotePrefix="0" xfId="0">
      <alignment horizontal="center" vertical="center" wrapText="1"/>
    </xf>
    <xf numFmtId="166" fontId="5" fillId="0" borderId="0" applyAlignment="1" pivotButton="0" quotePrefix="0" xfId="0">
      <alignment horizontal="right" vertical="center"/>
    </xf>
    <xf numFmtId="0" fontId="9" fillId="0" borderId="0" applyAlignment="1" pivotButton="0" quotePrefix="0" xfId="0">
      <alignment horizontal="left" vertical="center" wrapText="1"/>
    </xf>
    <xf numFmtId="165" fontId="10" fillId="5" borderId="1" applyAlignment="1" pivotButton="0" quotePrefix="0" xfId="0">
      <alignment horizontal="right" vertical="center"/>
    </xf>
    <xf numFmtId="166" fontId="8" fillId="0" borderId="0" applyAlignment="1" pivotButton="0" quotePrefix="0" xfId="0">
      <alignment horizontal="right" vertical="center"/>
    </xf>
    <xf numFmtId="164" fontId="4" fillId="0" borderId="0" applyAlignment="1" pivotButton="0" quotePrefix="0" xfId="0">
      <alignment horizontal="right" vertical="center"/>
    </xf>
    <xf numFmtId="164" fontId="8" fillId="0" borderId="0" applyAlignment="1" pivotButton="0" quotePrefix="0" xfId="0">
      <alignment horizontal="right" vertical="center"/>
    </xf>
    <xf numFmtId="164" fontId="10" fillId="5" borderId="1" applyAlignment="1" pivotButton="0" quotePrefix="0" xfId="0">
      <alignment horizontal="right" vertical="center"/>
    </xf>
    <xf numFmtId="166" fontId="10" fillId="5" borderId="1" applyAlignment="1" pivotButton="0" quotePrefix="0" xfId="0">
      <alignment horizontal="right" vertical="center"/>
    </xf>
    <xf numFmtId="0" fontId="11" fillId="0" borderId="0" applyAlignment="1" pivotButton="0" quotePrefix="0" xfId="0">
      <alignment horizontal="left" vertical="center" wrapText="1"/>
    </xf>
    <xf numFmtId="165" fontId="4" fillId="6" borderId="0" applyAlignment="1" pivotButton="0" quotePrefix="0" xfId="0">
      <alignment horizontal="right" vertical="center"/>
    </xf>
    <xf numFmtId="0" fontId="4" fillId="0" borderId="0" applyAlignment="1" pivotButton="0" quotePrefix="0" xfId="0">
      <alignment horizontal="center" vertical="center" wrapText="1"/>
    </xf>
    <xf numFmtId="165" fontId="4" fillId="7" borderId="0" applyAlignment="1" pivotButton="0" quotePrefix="0" xfId="0">
      <alignment horizontal="right" vertical="center"/>
    </xf>
    <xf numFmtId="167" fontId="4" fillId="0" borderId="0" applyAlignment="1" pivotButton="0" quotePrefix="0" xfId="0">
      <alignment horizontal="right" vertical="center"/>
    </xf>
    <xf numFmtId="167" fontId="8" fillId="0" borderId="0" applyAlignment="1" pivotButton="0" quotePrefix="0" xfId="0">
      <alignment horizontal="right" vertical="center"/>
    </xf>
    <xf numFmtId="0" fontId="2" fillId="2" borderId="0" applyAlignment="1" pivotButton="0" quotePrefix="0" xfId="0">
      <alignment horizontal="left" vertical="center" wrapText="1"/>
    </xf>
    <xf numFmtId="0" fontId="12" fillId="0" borderId="0" applyAlignment="1" pivotButton="0" quotePrefix="0" xfId="0">
      <alignment horizontal="center" vertical="center" wrapText="1"/>
    </xf>
    <xf numFmtId="0" fontId="2" fillId="3" borderId="1" applyAlignment="1" pivotButton="0" quotePrefix="0" xfId="0">
      <alignment horizontal="center" vertical="center" wrapText="1"/>
    </xf>
    <xf numFmtId="0" fontId="9" fillId="6" borderId="0" applyAlignment="1" pivotButton="0" quotePrefix="0" xfId="0">
      <alignment horizontal="left" vertical="center" wrapText="1"/>
    </xf>
    <xf numFmtId="0" fontId="6" fillId="6" borderId="0" applyAlignment="1" pivotButton="0" quotePrefix="0" xfId="0">
      <alignment horizontal="left" vertical="center" wrapText="1"/>
    </xf>
    <xf numFmtId="0" fontId="4" fillId="0" borderId="1" applyAlignment="1" pivotButton="0" quotePrefix="0" xfId="0">
      <alignment horizontal="center" vertical="center" wrapText="1"/>
    </xf>
    <xf numFmtId="0" fontId="6" fillId="0" borderId="0" pivotButton="0" quotePrefix="0" xfId="0"/>
    <xf numFmtId="0" fontId="14" fillId="8" borderId="0" applyAlignment="1" pivotButton="0" quotePrefix="0" xfId="0">
      <alignment horizontal="left" vertical="center" wrapText="1"/>
    </xf>
    <xf numFmtId="0" fontId="15" fillId="8" borderId="0" applyAlignment="1" pivotButton="0" quotePrefix="0" xfId="0">
      <alignment horizontal="center" vertical="center" wrapText="1"/>
    </xf>
    <xf numFmtId="0" fontId="9" fillId="8" borderId="0" applyAlignment="1" pivotButton="0" quotePrefix="0" xfId="0">
      <alignment horizontal="left" vertical="center" wrapText="1"/>
    </xf>
    <xf numFmtId="165" fontId="15" fillId="8" borderId="0" applyAlignment="1" pivotButton="0" quotePrefix="0" xfId="0">
      <alignment horizontal="center" vertical="center" wrapText="1"/>
    </xf>
    <xf numFmtId="165" fontId="16" fillId="6" borderId="0" applyAlignment="1" pivotButton="0" quotePrefix="0" xfId="0">
      <alignment horizontal="right" vertical="center"/>
    </xf>
    <xf numFmtId="0" fontId="17"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right" vertical="center"/>
    </xf>
    <xf numFmtId="165" fontId="0" fillId="0" borderId="0" applyAlignment="1" pivotButton="0" quotePrefix="0" xfId="0">
      <alignment horizontal="right" vertical="center"/>
    </xf>
    <xf numFmtId="168" fontId="0" fillId="0" borderId="0" applyAlignment="1" pivotButton="0" quotePrefix="0" xfId="0">
      <alignment horizontal="right" vertical="center"/>
    </xf>
    <xf numFmtId="0" fontId="0" fillId="6" borderId="0" pivotButton="0" quotePrefix="0" xfId="0"/>
    <xf numFmtId="0" fontId="2" fillId="3" borderId="0" pivotButton="0" quotePrefix="0" xfId="0"/>
    <xf numFmtId="165" fontId="2" fillId="3" borderId="0" applyAlignment="1" pivotButton="0" quotePrefix="0" xfId="0">
      <alignment horizontal="right" vertical="center"/>
    </xf>
    <xf numFmtId="166" fontId="10" fillId="6" borderId="1" applyAlignment="1" pivotButton="0" quotePrefix="0" xfId="0">
      <alignment horizontal="right" vertical="center"/>
    </xf>
    <xf numFmtId="166" fontId="4" fillId="0" borderId="0" applyAlignment="1" pivotButton="0" quotePrefix="0" xfId="0">
      <alignment horizontal="right" vertical="center"/>
    </xf>
    <xf numFmtId="164" fontId="10" fillId="6" borderId="1" applyAlignment="1" pivotButton="0" quotePrefix="0" xfId="0">
      <alignment horizontal="right" vertical="center"/>
    </xf>
    <xf numFmtId="165" fontId="10" fillId="6" borderId="1" applyAlignment="1" pivotButton="0" quotePrefix="0" xfId="0">
      <alignment horizontal="right" vertical="center"/>
    </xf>
    <xf numFmtId="167" fontId="10" fillId="5" borderId="1" applyAlignment="1" pivotButton="0" quotePrefix="0" xfId="0">
      <alignment horizontal="right" vertical="center"/>
    </xf>
    <xf numFmtId="0" fontId="10" fillId="0" borderId="0" pivotButton="0" quotePrefix="0" xfId="0"/>
    <xf numFmtId="0" fontId="8" fillId="0" borderId="0" pivotButton="0" quotePrefix="0" xfId="0"/>
    <xf numFmtId="0" fontId="7" fillId="0" borderId="0" pivotButton="0" quotePrefix="0" xfId="0"/>
    <xf numFmtId="0" fontId="19" fillId="5" borderId="0" pivotButton="0" quotePrefix="0" xfId="0"/>
    <xf numFmtId="0" fontId="7" fillId="0" borderId="0" applyAlignment="1" pivotButton="0" quotePrefix="0" xfId="0">
      <alignment horizontal="center" vertical="center" wrapText="1"/>
    </xf>
    <xf numFmtId="164" fontId="4" fillId="6" borderId="0" applyAlignment="1" pivotButton="0" quotePrefix="0" xfId="0">
      <alignment horizontal="right" vertical="center"/>
    </xf>
    <xf numFmtId="0" fontId="4" fillId="0" borderId="0" applyAlignment="1" pivotButton="0" quotePrefix="0" xfId="0">
      <alignment horizontal="right" vertical="center"/>
    </xf>
    <xf numFmtId="0" fontId="4" fillId="6" borderId="1" applyAlignment="1" pivotButton="0" quotePrefix="0" xfId="0">
      <alignment horizontal="center" vertical="center" wrapText="1"/>
    </xf>
    <xf numFmtId="167" fontId="7" fillId="0" borderId="0" applyAlignment="1" pivotButton="0" quotePrefix="0" xfId="0">
      <alignment horizontal="right" vertical="center"/>
    </xf>
    <xf numFmtId="0" fontId="4" fillId="6" borderId="0" applyAlignment="1" pivotButton="0" quotePrefix="0" xfId="0">
      <alignment horizontal="left" vertical="center" wrapText="1"/>
    </xf>
    <xf numFmtId="0" fontId="21" fillId="0" borderId="0" applyAlignment="1" pivotButton="0" quotePrefix="0" xfId="0">
      <alignment horizontal="left" vertical="center" wrapText="1"/>
    </xf>
    <xf numFmtId="0" fontId="1" fillId="2" borderId="0" applyAlignment="1" pivotButton="0" quotePrefix="0" xfId="0">
      <alignment horizontal="left" vertical="center" wrapText="1"/>
    </xf>
    <xf numFmtId="0" fontId="22" fillId="2" borderId="0" applyAlignment="1" pivotButton="0" quotePrefix="0" xfId="0">
      <alignment horizontal="left" vertical="center" wrapText="1"/>
    </xf>
    <xf numFmtId="166" fontId="23" fillId="2" borderId="0" applyAlignment="1" pivotButton="0" quotePrefix="0" xfId="0">
      <alignment horizontal="center" vertical="center" wrapText="1"/>
    </xf>
    <xf numFmtId="0" fontId="4" fillId="5" borderId="0" pivotButton="0" quotePrefix="0" xfId="0"/>
    <xf numFmtId="0" fontId="4" fillId="5" borderId="0" applyAlignment="1" pivotButton="0" quotePrefix="0" xfId="0">
      <alignment horizontal="center" vertical="center" wrapText="1"/>
    </xf>
    <xf numFmtId="0" fontId="2" fillId="2" borderId="0" pivotButton="0" quotePrefix="0" xfId="0"/>
    <xf numFmtId="0" fontId="24" fillId="0" borderId="0" applyAlignment="1" pivotButton="0" quotePrefix="0" xfId="0">
      <alignment horizontal="center" vertical="center" wrapText="1"/>
    </xf>
    <xf numFmtId="165" fontId="5" fillId="0" borderId="0" applyAlignment="1" pivotButton="0" quotePrefix="0" xfId="0">
      <alignment horizontal="right" vertical="center"/>
    </xf>
    <xf numFmtId="166" fontId="7" fillId="0" borderId="0" applyAlignment="1" pivotButton="0" quotePrefix="0" xfId="0">
      <alignment horizontal="right" vertical="center"/>
    </xf>
    <xf numFmtId="165" fontId="7" fillId="0" borderId="0" applyAlignment="1" pivotButton="0" quotePrefix="0" xfId="0">
      <alignment horizontal="right" vertical="center"/>
    </xf>
    <xf numFmtId="164" fontId="5" fillId="0" borderId="0" applyAlignment="1" pivotButton="0" quotePrefix="0" xfId="0">
      <alignment horizontal="right" vertical="center"/>
    </xf>
    <xf numFmtId="165" fontId="4" fillId="0" borderId="0" applyAlignment="1" pivotButton="0" quotePrefix="0" xfId="0">
      <alignment horizontal="right" vertical="center"/>
    </xf>
    <xf numFmtId="165" fontId="8" fillId="0" borderId="0" applyAlignment="1" pivotButton="0" quotePrefix="0" xfId="0">
      <alignment horizontal="right" vertical="center"/>
    </xf>
    <xf numFmtId="164" fontId="7" fillId="0" borderId="0" applyAlignment="1" pivotButton="0" quotePrefix="0" xfId="0">
      <alignment horizontal="right" vertical="center"/>
    </xf>
    <xf numFmtId="166" fontId="5" fillId="0" borderId="0" applyAlignment="1" pivotButton="0" quotePrefix="0" xfId="0">
      <alignment horizontal="right" vertical="center"/>
    </xf>
    <xf numFmtId="165" fontId="10" fillId="5" borderId="1" applyAlignment="1" pivotButton="0" quotePrefix="0" xfId="0">
      <alignment horizontal="right" vertical="center"/>
    </xf>
    <xf numFmtId="166" fontId="8" fillId="0" borderId="0" applyAlignment="1" pivotButton="0" quotePrefix="0" xfId="0">
      <alignment horizontal="right" vertical="center"/>
    </xf>
    <xf numFmtId="164" fontId="4" fillId="0" borderId="0" applyAlignment="1" pivotButton="0" quotePrefix="0" xfId="0">
      <alignment horizontal="right" vertical="center"/>
    </xf>
    <xf numFmtId="164" fontId="8" fillId="0" borderId="0" applyAlignment="1" pivotButton="0" quotePrefix="0" xfId="0">
      <alignment horizontal="right" vertical="center"/>
    </xf>
    <xf numFmtId="164" fontId="10" fillId="5" borderId="1" applyAlignment="1" pivotButton="0" quotePrefix="0" xfId="0">
      <alignment horizontal="right" vertical="center"/>
    </xf>
    <xf numFmtId="166" fontId="10" fillId="5" borderId="1" applyAlignment="1" pivotButton="0" quotePrefix="0" xfId="0">
      <alignment horizontal="right" vertical="center"/>
    </xf>
    <xf numFmtId="165" fontId="4" fillId="6" borderId="0" applyAlignment="1" pivotButton="0" quotePrefix="0" xfId="0">
      <alignment horizontal="right" vertical="center"/>
    </xf>
    <xf numFmtId="165" fontId="4" fillId="7" borderId="0" applyAlignment="1" pivotButton="0" quotePrefix="0" xfId="0">
      <alignment horizontal="right" vertical="center"/>
    </xf>
    <xf numFmtId="165" fontId="15" fillId="8" borderId="0" applyAlignment="1" pivotButton="0" quotePrefix="0" xfId="0">
      <alignment horizontal="center" vertical="center" wrapText="1"/>
    </xf>
    <xf numFmtId="165" fontId="16" fillId="6" borderId="0" applyAlignment="1" pivotButton="0" quotePrefix="0" xfId="0">
      <alignment horizontal="right" vertical="center"/>
    </xf>
    <xf numFmtId="165" fontId="0" fillId="0" borderId="0" applyAlignment="1" pivotButton="0" quotePrefix="0" xfId="0">
      <alignment horizontal="right" vertical="center"/>
    </xf>
    <xf numFmtId="165" fontId="2" fillId="3" borderId="0" applyAlignment="1" pivotButton="0" quotePrefix="0" xfId="0">
      <alignment horizontal="right" vertical="center"/>
    </xf>
    <xf numFmtId="166" fontId="10" fillId="6" borderId="1" applyAlignment="1" pivotButton="0" quotePrefix="0" xfId="0">
      <alignment horizontal="right" vertical="center"/>
    </xf>
    <xf numFmtId="166" fontId="4" fillId="0" borderId="0" applyAlignment="1" pivotButton="0" quotePrefix="0" xfId="0">
      <alignment horizontal="right" vertical="center"/>
    </xf>
    <xf numFmtId="164" fontId="10" fillId="6" borderId="1" applyAlignment="1" pivotButton="0" quotePrefix="0" xfId="0">
      <alignment horizontal="right" vertical="center"/>
    </xf>
    <xf numFmtId="165" fontId="10" fillId="6" borderId="1" applyAlignment="1" pivotButton="0" quotePrefix="0" xfId="0">
      <alignment horizontal="right" vertical="center"/>
    </xf>
    <xf numFmtId="164" fontId="4" fillId="6" borderId="0" applyAlignment="1" pivotButton="0" quotePrefix="0" xfId="0">
      <alignment horizontal="right" vertical="center"/>
    </xf>
    <xf numFmtId="164" fontId="8" fillId="6" borderId="0" applyAlignment="1" pivotButton="0" quotePrefix="0" xfId="0">
      <alignment horizontal="right" vertical="center"/>
    </xf>
    <xf numFmtId="166" fontId="23" fillId="2" borderId="0" applyAlignment="1" pivotButton="0" quotePrefix="0" xfId="0">
      <alignment horizontal="center" vertical="center" wrapText="1"/>
    </xf>
    <xf numFmtId="0" fontId="25" fillId="11" borderId="0" pivotButton="0" quotePrefix="0" xfId="0"/>
    <xf numFmtId="0" fontId="0" fillId="11" borderId="0" pivotButton="0" quotePrefix="0" xfId="0"/>
    <xf numFmtId="0" fontId="26" fillId="0" borderId="0" pivotButton="0" quotePrefix="0" xfId="0"/>
    <xf numFmtId="0" fontId="27" fillId="12" borderId="0" pivotButton="0" quotePrefix="0" xfId="0"/>
    <xf numFmtId="0" fontId="0" fillId="12" borderId="0" pivotButton="0" quotePrefix="0" xfId="0"/>
    <xf numFmtId="165" fontId="28" fillId="0" borderId="0" pivotButton="0" quotePrefix="0" xfId="0"/>
    <xf numFmtId="169" fontId="28" fillId="0" borderId="0" pivotButton="0" quotePrefix="0" xfId="0"/>
    <xf numFmtId="164" fontId="28" fillId="0" borderId="0" pivotButton="0" quotePrefix="0" xfId="0"/>
    <xf numFmtId="0" fontId="29" fillId="12" borderId="0" pivotButton="0" quotePrefix="0" xfId="0"/>
    <xf numFmtId="166" fontId="28" fillId="0" borderId="0" pivotButton="0" quotePrefix="0" xfId="0"/>
    <xf numFmtId="165" fontId="30" fillId="0" borderId="0" pivotButton="0" quotePrefix="0" xfId="0"/>
    <xf numFmtId="0" fontId="31" fillId="0" borderId="0" pivotButton="0" quotePrefix="0" xfId="0"/>
    <xf numFmtId="165" fontId="31" fillId="0" borderId="0" pivotButton="0" quotePrefix="0" xfId="0"/>
    <xf numFmtId="169" fontId="30" fillId="0" borderId="0" pivotButton="0" quotePrefix="0" xfId="0"/>
    <xf numFmtId="0" fontId="30" fillId="0" borderId="0" pivotButton="0" quotePrefix="0" xfId="0"/>
    <xf numFmtId="164" fontId="30" fillId="0" borderId="0" pivotButton="0" quotePrefix="0" xfId="0"/>
    <xf numFmtId="0" fontId="32" fillId="12" borderId="0" pivotButton="0" quotePrefix="0" xfId="0"/>
    <xf numFmtId="0" fontId="28" fillId="0" borderId="0" pivotButton="0" quotePrefix="0" xfId="0"/>
    <xf numFmtId="166" fontId="30" fillId="0" borderId="0" pivotButton="0" quotePrefix="0" xfId="0"/>
    <xf numFmtId="169" fontId="31" fillId="0" borderId="0" pivotButton="0" quotePrefix="0" xfId="0"/>
    <xf numFmtId="164" fontId="31" fillId="0" borderId="0" pivotButton="0" quotePrefix="0" xfId="0"/>
    <xf numFmtId="170" fontId="28" fillId="0" borderId="0" pivotButton="0" quotePrefix="0" xfId="0"/>
    <xf numFmtId="170" fontId="30" fillId="0" borderId="0" pivotButton="0" quotePrefix="0" xfId="0"/>
    <xf numFmtId="0" fontId="33" fillId="0" borderId="0" pivotButton="0" quotePrefix="0" xfId="0"/>
    <xf numFmtId="166" fontId="31" fillId="0" borderId="0" pivotButton="0" quotePrefix="0" xfId="0"/>
    <xf numFmtId="0" fontId="26" fillId="0" borderId="0" applyAlignment="1" pivotButton="0" quotePrefix="0" xfId="0">
      <alignment horizontal="left" vertical="center" wrapText="1"/>
    </xf>
    <xf numFmtId="164" fontId="30" fillId="5" borderId="1" applyAlignment="1" pivotButton="0" quotePrefix="0" xfId="0">
      <alignment horizontal="right" vertical="center"/>
    </xf>
    <xf numFmtId="165" fontId="33" fillId="0" borderId="0" pivotButton="0" quotePrefix="0" xfId="0"/>
  </cellXfs>
  <cellStyles count="1">
    <cellStyle name="Normal" xfId="0" builtinId="0"/>
  </cellStyles>
  <dxfs count="133">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sz val="14"/>
      </font>
      <fill>
        <patternFill patternType="solid">
          <fgColor rgb="FFFFC7CE"/>
          <bgColor rgb="FFFFC7CE"/>
        </patternFill>
      </fill>
    </dxf>
    <dxf>
      <font>
        <name val="Arial"/>
        <charset val="1"/>
        <b val="1"/>
        <color rgb="FF000000"/>
        <sz val="14"/>
      </font>
      <fill>
        <patternFill patternType="solid">
          <fgColor rgb="FFFFFF00"/>
          <bgColor rgb="FFFFFF00"/>
        </patternFill>
      </fill>
    </dxf>
    <dxf>
      <font>
        <name val="Arial"/>
        <charset val="1"/>
        <b val="1"/>
        <color rgb="FF006100"/>
        <sz val="14"/>
      </font>
      <fill>
        <patternFill patternType="solid">
          <fgColor rgb="FFC6EFCE"/>
          <bgColor rgb="FFC6EFCE"/>
        </patternFill>
      </fill>
    </dxf>
    <dxf>
      <font>
        <name val="Arial"/>
        <charset val="1"/>
        <b val="1"/>
        <color rgb="FFFFFFFF"/>
        <sz val="14"/>
      </font>
      <fill>
        <patternFill patternType="solid">
          <fgColor rgb="FF006100"/>
          <bgColor rgb="FF006100"/>
        </patternFill>
      </fill>
    </dxf>
    <dxf>
      <font>
        <name val="Arial"/>
        <charset val="1"/>
        <b val="1"/>
        <color rgb="FF000000"/>
      </font>
      <fill>
        <patternFill patternType="solid">
          <fgColor rgb="FFFFFF00"/>
          <bgColor rgb="FFFFFF00"/>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000000"/>
      </font>
      <fill>
        <patternFill patternType="solid">
          <fgColor rgb="FFFFFF00"/>
          <bgColor rgb="FFFFFF00"/>
        </patternFill>
      </fill>
    </dxf>
    <dxf>
      <font>
        <name val="Arial"/>
        <charset val="1"/>
        <b val="1"/>
        <color rgb="FF9C0006"/>
      </font>
      <fill>
        <patternFill patternType="solid">
          <fgColor rgb="FFFFC7CE"/>
          <bgColor rgb="FFFFC7CE"/>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006100"/>
      </font>
      <fill>
        <patternFill patternType="solid">
          <fgColor rgb="FFC6EFCE"/>
          <bgColor rgb="FFC6EFCE"/>
        </patternFill>
      </fill>
    </dxf>
    <dxf>
      <font>
        <name val="Arial"/>
        <charset val="1"/>
        <b val="1"/>
        <color rgb="FF006100"/>
      </font>
      <fill>
        <patternFill patternType="solid">
          <fgColor rgb="FFC6EFCE"/>
          <bgColor rgb="FFC6EFCE"/>
        </patternFill>
      </fill>
    </dxf>
    <dxf>
      <font>
        <name val="Arial"/>
        <charset val="1"/>
        <b val="1"/>
        <color rgb="FF006100"/>
      </font>
      <fill>
        <patternFill patternType="solid">
          <fgColor rgb="FFC6EFCE"/>
          <bgColor rgb="FFC6EFCE"/>
        </patternFill>
      </fill>
    </dxf>
    <dxf>
      <font>
        <name val="Arial"/>
        <charset val="1"/>
        <b val="1"/>
        <color rgb="FF006100"/>
      </font>
      <fill>
        <patternFill patternType="solid">
          <fgColor rgb="FFC6EFCE"/>
          <bgColor rgb="FFC6EFCE"/>
        </patternFill>
      </fill>
    </dxf>
    <dxf>
      <font>
        <name val="Arial"/>
        <charset val="1"/>
        <b val="1"/>
        <color rgb="FF006100"/>
      </font>
      <fill>
        <patternFill patternType="solid">
          <fgColor rgb="FFC6EFCE"/>
          <bgColor rgb="FFC6EF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000000"/>
      </font>
      <fill>
        <patternFill patternType="solid">
          <fgColor rgb="FFFFFF00"/>
          <bgColor rgb="FFFFFF00"/>
        </patternFill>
      </fill>
    </dxf>
    <dxf>
      <font>
        <name val="Arial"/>
        <charset val="1"/>
        <b val="1"/>
        <color rgb="FF9C0006"/>
        <sz val="14"/>
      </font>
      <fill>
        <patternFill patternType="solid">
          <fgColor rgb="FFFFC7CE"/>
          <bgColor rgb="FFFFC7CE"/>
        </patternFill>
      </fill>
    </dxf>
    <dxf>
      <font>
        <name val="Arial"/>
        <charset val="1"/>
        <b val="1"/>
        <color rgb="FFFFFFFF"/>
        <sz val="14"/>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0000"/>
      </font>
      <fill>
        <patternFill patternType="solid">
          <fgColor rgb="FFFFFF00"/>
          <bgColor rgb="FFFFFF00"/>
        </patternFill>
      </fill>
    </dxf>
    <dxf>
      <font>
        <name val="Arial"/>
        <charset val="1"/>
        <b val="1"/>
        <color rgb="FFFFFFFF"/>
      </font>
      <fill>
        <patternFill patternType="solid">
          <fgColor rgb="FF006100"/>
          <bgColor rgb="FF006100"/>
        </patternFill>
      </fill>
    </dxf>
    <dxf>
      <font>
        <name val="Arial"/>
        <charset val="1"/>
        <b val="1"/>
        <color rgb="FF9C0006"/>
        <sz val="12"/>
      </font>
      <fill>
        <patternFill patternType="solid">
          <fgColor rgb="FFFFC7CE"/>
          <bgColor rgb="FFFFC7CE"/>
        </patternFill>
      </fill>
    </dxf>
    <dxf>
      <font>
        <name val="Arial"/>
        <charset val="1"/>
        <b val="1"/>
        <color rgb="FF000000"/>
        <sz val="12"/>
      </font>
      <fill>
        <patternFill patternType="solid">
          <fgColor rgb="FFFFFF00"/>
          <bgColor rgb="FFFFFF00"/>
        </patternFill>
      </fill>
    </dxf>
    <dxf>
      <font>
        <name val="Arial"/>
        <charset val="1"/>
        <b val="1"/>
        <color rgb="FF006100"/>
        <sz val="12"/>
      </font>
      <fill>
        <patternFill patternType="solid">
          <fgColor rgb="FFC6EFCE"/>
          <bgColor rgb="FFC6EFCE"/>
        </patternFill>
      </fill>
    </dxf>
    <dxf>
      <font>
        <name val="Arial"/>
        <charset val="1"/>
        <b val="1"/>
        <color rgb="FFFFFFFF"/>
        <sz val="12"/>
      </font>
      <fill>
        <patternFill patternType="solid">
          <fgColor rgb="FF006100"/>
          <bgColor rgb="FF006100"/>
        </patternFill>
      </fill>
    </dxf>
    <dxf>
      <font>
        <name val="Arial"/>
        <charset val="1"/>
        <b val="1"/>
        <color rgb="FF000000"/>
      </font>
      <fill>
        <patternFill patternType="solid">
          <fgColor rgb="FFFFFF00"/>
          <bgColor rgb="FFFFFF00"/>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FFFFFF"/>
      </font>
      <fill>
        <patternFill patternType="solid">
          <fgColor rgb="FF006100"/>
          <bgColor rgb="FF006100"/>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9C0006"/>
      </font>
      <fill>
        <patternFill patternType="solid">
          <fgColor rgb="FFFFC7CE"/>
          <bgColor rgb="FFFFC7CE"/>
        </patternFill>
      </fill>
    </dxf>
    <dxf>
      <font>
        <name val="Arial"/>
        <charset val="1"/>
        <b val="1"/>
        <color rgb="FF006100"/>
      </font>
      <fill>
        <patternFill patternType="solid">
          <fgColor rgb="FFC6EFCE"/>
          <bgColor rgb="FFC6EFCE"/>
        </patternFill>
      </fill>
    </dxf>
    <dxf>
      <font>
        <name val="Arial"/>
        <charset val="1"/>
        <b val="1"/>
        <color rgb="FFFFFFFF"/>
      </font>
      <fill>
        <patternFill patternType="solid">
          <fgColor rgb="FF006100"/>
          <bgColor rgb="FF0061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5B9BD5"/>
      <rgbColor rgb="FF993366"/>
      <rgbColor rgb="FFFFFF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D966"/>
      <rgbColor rgb="FFFF9900"/>
      <rgbColor rgb="FFFF6600"/>
      <rgbColor rgb="FF595959"/>
      <rgbColor rgb="FF969696"/>
      <rgbColor rgb="FF1F3864"/>
      <rgbColor rgb="FF339966"/>
      <rgbColor rgb="FF006100"/>
      <rgbColor rgb="FF333300"/>
      <rgbColor rgb="FF993300"/>
      <rgbColor rgb="FF993366"/>
      <rgbColor rgb="FF2E5597"/>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Unknown Author</author>
  </authors>
  <commentList>
    <comment ref="A6" authorId="0" shapeId="0">
      <text>
        <t>Simplified: Y1 NOI grown at rent growth rate. For lender-grade accuracy, use Cash_Flow_10yr column N values.</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51"/>
  <sheetViews>
    <sheetView tabSelected="1" zoomScaleNormal="100" workbookViewId="0">
      <selection activeCell="F36" sqref="F36"/>
    </sheetView>
  </sheetViews>
  <sheetFormatPr baseColWidth="8" defaultColWidth="8.7109375" defaultRowHeight="15"/>
  <cols>
    <col width="36" customWidth="1" min="1" max="1"/>
    <col width="16" customWidth="1" min="2" max="3"/>
    <col width="18" customWidth="1" min="4" max="4"/>
  </cols>
  <sheetData>
    <row r="1" ht="30" customHeight="1">
      <c r="A1" s="10" t="inlineStr">
        <is>
          <t>ZOXIRO UNDERWRITING — DEAL SUMMARY</t>
        </is>
      </c>
    </row>
    <row r="2" ht="19.5" customHeight="1">
      <c r="A2" s="11" t="inlineStr">
        <is>
          <t>Blank template — enter your deal inputs on the Assumptions and Scenarios tabs.</t>
        </is>
      </c>
    </row>
    <row r="4" ht="15" customHeight="1">
      <c r="A4" s="11" t="inlineStr">
        <is>
          <t>Key Metric</t>
        </is>
      </c>
      <c r="B4" s="12" t="inlineStr">
        <is>
          <t>Property 1</t>
        </is>
      </c>
      <c r="C4" s="12" t="inlineStr">
        <is>
          <t>Property 2</t>
        </is>
      </c>
      <c r="D4" s="12" t="inlineStr">
        <is>
          <t>Combined</t>
        </is>
      </c>
    </row>
    <row r="5" ht="21.75" customHeight="1">
      <c r="A5" s="8" t="inlineStr">
        <is>
          <t>PURCHASE</t>
        </is>
      </c>
    </row>
    <row r="6" ht="15" customHeight="1">
      <c r="A6" s="13" t="inlineStr">
        <is>
          <t>Purchase Price</t>
        </is>
      </c>
      <c r="B6" s="82">
        <f>Assumptions!B6</f>
        <v/>
      </c>
      <c r="C6" s="82">
        <f>Assumptions!E6</f>
        <v/>
      </c>
      <c r="D6" s="82">
        <f>Assumptions!H6</f>
        <v/>
      </c>
    </row>
    <row r="7" ht="15" customHeight="1">
      <c r="A7" s="15" t="inlineStr">
        <is>
          <t>Units</t>
        </is>
      </c>
      <c r="B7" s="83">
        <f>Assumptions!B7</f>
        <v/>
      </c>
      <c r="C7" s="83">
        <f>Assumptions!E7</f>
        <v/>
      </c>
      <c r="D7" s="83">
        <f>Assumptions!H7</f>
        <v/>
      </c>
    </row>
    <row r="8" ht="15" customHeight="1">
      <c r="A8" s="15" t="inlineStr">
        <is>
          <t>Price Per Unit</t>
        </is>
      </c>
      <c r="B8" s="84">
        <f>Assumptions!B8</f>
        <v/>
      </c>
      <c r="C8" s="84">
        <f>Assumptions!E8</f>
        <v/>
      </c>
      <c r="D8" s="84">
        <f>Assumptions!H8</f>
        <v/>
      </c>
    </row>
    <row r="9" ht="15" customHeight="1">
      <c r="A9" s="13" t="inlineStr">
        <is>
          <t>Implied Going-In Cap Rate</t>
        </is>
      </c>
      <c r="B9" s="85">
        <f>Income_Statement!B22</f>
        <v/>
      </c>
      <c r="C9" s="85">
        <f>Income_Statement!C22</f>
        <v/>
      </c>
      <c r="D9" s="85">
        <f>Income_Statement!D22</f>
        <v/>
      </c>
    </row>
    <row r="11" ht="21.75" customHeight="1">
      <c r="A11" s="8" t="inlineStr">
        <is>
          <t>FINANCING STRUCTURE</t>
        </is>
      </c>
    </row>
    <row r="12" ht="15" customHeight="1">
      <c r="A12" s="13" t="inlineStr">
        <is>
          <t>Senior DSCR Loan</t>
        </is>
      </c>
      <c r="B12" s="82">
        <f>Assumptions!B13</f>
        <v/>
      </c>
      <c r="C12" s="82">
        <f>Assumptions!E13</f>
        <v/>
      </c>
      <c r="D12" s="86">
        <f>B12+C12</f>
        <v/>
      </c>
    </row>
    <row r="13" ht="15" customHeight="1">
      <c r="A13" s="13" t="inlineStr">
        <is>
          <t>Seller Carry (2nd lien)</t>
        </is>
      </c>
      <c r="B13" s="82">
        <f>Assumptions!B20</f>
        <v/>
      </c>
      <c r="C13" s="82">
        <f>Assumptions!E20</f>
        <v/>
      </c>
      <c r="D13" s="86">
        <f>B13+C13</f>
        <v/>
      </c>
    </row>
    <row r="14" ht="15" customHeight="1">
      <c r="A14" s="15" t="inlineStr">
        <is>
          <t>Transactional Funding Needed</t>
        </is>
      </c>
      <c r="B14" s="84">
        <f>Assumptions!B31</f>
        <v/>
      </c>
      <c r="C14" s="84">
        <f>Assumptions!E31</f>
        <v/>
      </c>
      <c r="D14" s="87">
        <f>B14+C14</f>
        <v/>
      </c>
    </row>
    <row r="15" ht="15" customHeight="1">
      <c r="A15" s="15" t="inlineStr">
        <is>
          <t>Transactional Funding Cost (your funder's fee)</t>
        </is>
      </c>
      <c r="B15" s="84">
        <f>Assumptions!B33</f>
        <v/>
      </c>
      <c r="C15" s="84">
        <f>Assumptions!E33</f>
        <v/>
      </c>
      <c r="D15" s="87">
        <f>B15+C15</f>
        <v/>
      </c>
    </row>
    <row r="16" ht="15" customHeight="1">
      <c r="A16" s="13" t="inlineStr">
        <is>
          <t>Buyer Cash to Close</t>
        </is>
      </c>
      <c r="B16" s="82">
        <f>Assumptions!B27</f>
        <v/>
      </c>
      <c r="C16" s="82">
        <f>Assumptions!E27</f>
        <v/>
      </c>
      <c r="D16" s="86">
        <f>B16+C16</f>
        <v/>
      </c>
    </row>
    <row r="18" ht="21.75" customHeight="1">
      <c r="A18" s="8" t="inlineStr">
        <is>
          <t>INCOME &amp; DEBT COVERAGE (Y1 Stabilized)</t>
        </is>
      </c>
    </row>
    <row r="19" ht="15" customHeight="1">
      <c r="A19" s="15" t="inlineStr">
        <is>
          <t>Effective Gross Income (EGI)</t>
        </is>
      </c>
      <c r="B19" s="84">
        <f>Income_Statement!B8</f>
        <v/>
      </c>
      <c r="C19" s="84">
        <f>Income_Statement!C8</f>
        <v/>
      </c>
      <c r="D19" s="84">
        <f>Income_Statement!D8</f>
        <v/>
      </c>
    </row>
    <row r="20" ht="15" customHeight="1">
      <c r="A20" s="13" t="inlineStr">
        <is>
          <t>Net Operating Income (NOI)</t>
        </is>
      </c>
      <c r="B20" s="82">
        <f>Income_Statement!B21</f>
        <v/>
      </c>
      <c r="C20" s="82">
        <f>Income_Statement!C21</f>
        <v/>
      </c>
      <c r="D20" s="82">
        <f>Income_Statement!D21</f>
        <v/>
      </c>
    </row>
    <row r="21" ht="15" customHeight="1">
      <c r="A21" s="15" t="inlineStr">
        <is>
          <t>OpEx Ratio</t>
        </is>
      </c>
      <c r="B21" s="88">
        <f>Income_Statement!B18</f>
        <v/>
      </c>
      <c r="C21" s="88">
        <f>Income_Statement!C18</f>
        <v/>
      </c>
      <c r="D21" s="88">
        <f>Income_Statement!D18</f>
        <v/>
      </c>
    </row>
    <row r="22" ht="15" customHeight="1">
      <c r="A22" s="15" t="inlineStr">
        <is>
          <t>Total Debt Service (Sr + Carry)</t>
        </is>
      </c>
      <c r="B22" s="84">
        <f>Income_Statement!B27</f>
        <v/>
      </c>
      <c r="C22" s="84">
        <f>Income_Statement!C27</f>
        <v/>
      </c>
      <c r="D22" s="84">
        <f>Income_Statement!D27</f>
        <v/>
      </c>
    </row>
    <row r="23" ht="15" customHeight="1">
      <c r="A23" s="13" t="inlineStr">
        <is>
          <t>DSCR — Total Debt</t>
        </is>
      </c>
      <c r="B23" s="22">
        <f>Income_Statement!B29</f>
        <v/>
      </c>
      <c r="C23" s="22">
        <f>Income_Statement!C29</f>
        <v/>
      </c>
      <c r="D23" s="22">
        <f>Income_Statement!D29</f>
        <v/>
      </c>
    </row>
    <row r="24" ht="26.25" customHeight="1">
      <c r="A24" s="13" t="inlineStr">
        <is>
          <t>Annual Cash Flow After Debt Service</t>
        </is>
      </c>
      <c r="B24" s="82">
        <f>Income_Statement!B30</f>
        <v/>
      </c>
      <c r="C24" s="82">
        <f>Income_Statement!C30</f>
        <v/>
      </c>
      <c r="D24" s="82">
        <f>Income_Statement!D30</f>
        <v/>
      </c>
    </row>
    <row r="25" ht="15" customHeight="1">
      <c r="A25" s="15" t="inlineStr">
        <is>
          <t>Monthly Cash Flow</t>
        </is>
      </c>
      <c r="B25" s="87">
        <f>IFERROR(B24/12,"—")</f>
        <v/>
      </c>
      <c r="C25" s="87">
        <f>IFERROR(C24/12,"—")</f>
        <v/>
      </c>
      <c r="D25" s="87">
        <f>IFERROR(D24/12,"—")</f>
        <v/>
      </c>
    </row>
    <row r="27" ht="21.75" customHeight="1">
      <c r="A27" s="8">
        <f>"REFINANCE EXIT (Year "&amp;Assumptions!B53&amp;")"</f>
        <v/>
      </c>
    </row>
    <row r="28" ht="15" customHeight="1">
      <c r="A28" s="15" t="inlineStr">
        <is>
          <t>Stabilized Asset Value at Refi</t>
        </is>
      </c>
      <c r="B28" s="84">
        <f>Refi_Analysis!B10</f>
        <v/>
      </c>
      <c r="C28" s="84">
        <f>Refi_Analysis!C10</f>
        <v/>
      </c>
      <c r="D28" s="84">
        <f>Refi_Analysis!D10</f>
        <v/>
      </c>
    </row>
    <row r="29" ht="15" customHeight="1">
      <c r="A29" s="15" t="inlineStr">
        <is>
          <t>Max Refi Loan (Limiting)</t>
        </is>
      </c>
      <c r="B29" s="84">
        <f>Refi_Analysis!B20</f>
        <v/>
      </c>
      <c r="C29" s="84">
        <f>Refi_Analysis!C20</f>
        <v/>
      </c>
      <c r="D29" s="84">
        <f>Refi_Analysis!D20</f>
        <v/>
      </c>
    </row>
    <row r="30" ht="15" customHeight="1">
      <c r="A30" s="15" t="inlineStr">
        <is>
          <t>Stack Balance at Refi</t>
        </is>
      </c>
      <c r="B30" s="84">
        <f>Refi_Analysis!B26</f>
        <v/>
      </c>
      <c r="C30" s="84">
        <f>Refi_Analysis!C26</f>
        <v/>
      </c>
      <c r="D30" s="84">
        <f>Refi_Analysis!D26</f>
        <v/>
      </c>
    </row>
    <row r="31" ht="15" customHeight="1">
      <c r="A31" s="13" t="inlineStr">
        <is>
          <t>Refi Gap (Negative=Cash-Out)</t>
        </is>
      </c>
      <c r="B31" s="82">
        <f>Refi_Analysis!B28</f>
        <v/>
      </c>
      <c r="C31" s="82">
        <f>Refi_Analysis!C28</f>
        <v/>
      </c>
      <c r="D31" s="82">
        <f>Refi_Analysis!D28</f>
        <v/>
      </c>
    </row>
    <row r="32" ht="26.25" customHeight="1">
      <c r="A32" s="13" t="inlineStr">
        <is>
          <t>Refi Verdict</t>
        </is>
      </c>
      <c r="B32" s="23">
        <f>IF(Refi_Analysis!B28&lt;=0,"PASS — CASH OUT",IF(Scenarios!B49&gt;=Refi_Analysis!B28,"GAP COVERED BY BUYER CASH","NEEDS PLAN"))</f>
        <v/>
      </c>
      <c r="C32" s="23">
        <f>IF(Refi_Analysis!C28&lt;=0,"PASS — CASH OUT",IF(Scenarios!C49&gt;=Refi_Analysis!C28,"GAP COVERED BY BUYER CASH","NEEDS PLAN"))</f>
        <v/>
      </c>
      <c r="D32" s="23">
        <f>IF(Refi_Analysis!D28&lt;=0,"PASS — CASH OUT",IF(Scenarios!D49&gt;=Refi_Analysis!D28,"GAP COVERED BY BUYER CASH","NEEDS PLAN"))</f>
        <v/>
      </c>
    </row>
    <row r="33">
      <c r="A33" t="inlineStr">
        <is>
          <t>Earliest Clean Refi Year (solved)</t>
        </is>
      </c>
      <c r="B33" s="120">
        <f>IFERROR(Refi_Timeline!$C$29,"—")</f>
        <v/>
      </c>
      <c r="C33" s="120">
        <f>IFERROR(Refi_Timeline!$C$29,"—")</f>
        <v/>
      </c>
      <c r="D33" s="120">
        <f>IFERROR(Refi_Timeline!$C$29,"—")</f>
        <v/>
      </c>
    </row>
    <row r="34" ht="21.75" customHeight="1">
      <c r="A34" s="8" t="inlineStr">
        <is>
          <t>DEAL SCORE &amp; VERDICT</t>
        </is>
      </c>
    </row>
    <row r="35" ht="15" customHeight="1">
      <c r="A35" s="13" t="inlineStr">
        <is>
          <t>Deal Score (out of 100)</t>
        </is>
      </c>
      <c r="B35" s="89">
        <f>Deal_Score!C19</f>
        <v/>
      </c>
      <c r="C35" s="89">
        <f>Deal_Score!D19</f>
        <v/>
      </c>
      <c r="D35" s="89">
        <f>Deal_Score!E19</f>
        <v/>
      </c>
    </row>
    <row r="36" ht="15" customHeight="1">
      <c r="A36" s="13" t="inlineStr">
        <is>
          <t>Verdict</t>
        </is>
      </c>
      <c r="B36" s="23">
        <f>Deal_Score!C20</f>
        <v/>
      </c>
      <c r="C36" s="23">
        <f>Deal_Score!D20</f>
        <v/>
      </c>
      <c r="D36" s="23">
        <f>Deal_Score!E20</f>
        <v/>
      </c>
    </row>
    <row r="37" ht="15" customHeight="1">
      <c r="A37" s="13" t="inlineStr">
        <is>
          <t>Kill Flags Triggered</t>
        </is>
      </c>
      <c r="B37" s="89">
        <f>Kill_Flags!B15</f>
        <v/>
      </c>
      <c r="C37" s="89">
        <f>Kill_Flags!C15</f>
        <v/>
      </c>
      <c r="D37" s="89">
        <f>Kill_Flags!D15</f>
        <v/>
      </c>
    </row>
    <row r="39">
      <c r="A39" s="125" t="inlineStr">
        <is>
          <t>THE TWO GATES  (added 1.14.38)</t>
        </is>
      </c>
      <c r="B39" s="113" t="n"/>
      <c r="C39" s="113" t="n"/>
      <c r="D39" s="113" t="n"/>
    </row>
    <row r="40">
      <c r="A40" t="inlineStr">
        <is>
          <t>Total Cash Invested</t>
        </is>
      </c>
      <c r="B40" s="121">
        <f>Income_Statement!B38</f>
        <v/>
      </c>
      <c r="C40" s="121">
        <f>Income_Statement!C38</f>
        <v/>
      </c>
      <c r="D40" s="121">
        <f>Income_Statement!D38</f>
        <v/>
      </c>
    </row>
    <row r="41">
      <c r="A41" t="inlineStr">
        <is>
          <t>Cash-on-Cash Return</t>
        </is>
      </c>
      <c r="B41" s="129">
        <f>Income_Statement!B39</f>
        <v/>
      </c>
      <c r="C41" s="129">
        <f>Income_Statement!C39</f>
        <v/>
      </c>
      <c r="D41" s="129">
        <f>Income_Statement!D39</f>
        <v/>
      </c>
    </row>
    <row r="42">
      <c r="A42" t="inlineStr">
        <is>
          <t>Gate — DSCR</t>
        </is>
      </c>
      <c r="B42" s="120">
        <f>Income_Statement!B40</f>
        <v/>
      </c>
      <c r="C42" s="120">
        <f>Income_Statement!C40</f>
        <v/>
      </c>
      <c r="D42" s="120">
        <f>Income_Statement!D40</f>
        <v/>
      </c>
    </row>
    <row r="43">
      <c r="A43" t="inlineStr">
        <is>
          <t>Gate — Cash-on-Cash</t>
        </is>
      </c>
      <c r="B43" s="120">
        <f>Income_Statement!B41</f>
        <v/>
      </c>
      <c r="C43" s="120">
        <f>Income_Statement!C41</f>
        <v/>
      </c>
      <c r="D43" s="120">
        <f>Income_Statement!D41</f>
        <v/>
      </c>
    </row>
    <row r="44">
      <c r="A44" s="111" t="inlineStr">
        <is>
          <t>Land deals → Land tab. Leasehold → Leasehold tab. Mixed NNN/gross centre → Recovery tab. Four offers on one property → Offers tab.</t>
        </is>
      </c>
    </row>
    <row r="46">
      <c r="A46" s="125" t="inlineStr">
        <is>
          <t>WHY THIS MODEL IS BUILT THE WAY IT IS</t>
        </is>
      </c>
      <c r="B46" s="113" t="n"/>
      <c r="C46" s="113" t="n"/>
      <c r="D46" s="113" t="n"/>
    </row>
    <row r="47">
      <c r="A47" s="111" t="inlineStr">
        <is>
          <t>Built originally around one question: if you buy with a seller carry and a transactional funder covers the down, can you refinance at the balloon and pay the carry off? That is why the refi exit is the largest scoring category and why Refi_Analysis solves backwards for the NOI growth required.</t>
        </is>
      </c>
    </row>
    <row r="48">
      <c r="A48" s="111" t="inlineStr">
        <is>
          <t>Balloons run 5, 10, 15 or 20 years. Five is the practical minimum — below that there is rarely enough forced appreciation for the refinance to cover the carry payoff.</t>
        </is>
      </c>
    </row>
    <row r="49">
      <c r="A49" s="111" t="inlineStr">
        <is>
          <t>The model has since been widened: all asset classes, all financing structures, land and leasehold interests, and four priced offers rather than one verdict. The refi test still sits underneath all of it.</t>
        </is>
      </c>
    </row>
    <row r="50">
      <c r="A50" s="111" t="inlineStr">
        <is>
          <t>A cap rate is an output of price, never a property of the building. The model solves for the price that works instead of rejecting the seller's asking price.</t>
        </is>
      </c>
    </row>
    <row r="51">
      <c r="A51" s="111" t="inlineStr">
        <is>
          <t>Cash-on-cash is measured on cash ACTUALLY invested, never on the down payment.</t>
        </is>
      </c>
    </row>
  </sheetData>
  <mergeCells count="7">
    <mergeCell ref="A1:D1"/>
    <mergeCell ref="A5:D5"/>
    <mergeCell ref="A18:D18"/>
    <mergeCell ref="A27:D27"/>
    <mergeCell ref="A34:D34"/>
    <mergeCell ref="A2:D2"/>
    <mergeCell ref="A11:D11"/>
  </mergeCells>
  <conditionalFormatting sqref="B23:D23">
    <cfRule type="cellIs" priority="2" operator="greaterThanOrEqual" dxfId="2">
      <formula>1.25</formula>
    </cfRule>
    <cfRule type="cellIs" priority="3" operator="between" dxfId="3">
      <formula>1</formula>
      <formula>1.249</formula>
    </cfRule>
    <cfRule type="cellIs" priority="4" operator="lessThan" dxfId="0">
      <formula>1</formula>
    </cfRule>
  </conditionalFormatting>
  <conditionalFormatting sqref="B24:D25">
    <cfRule type="cellIs" priority="5" operator="greaterThan" dxfId="3">
      <formula>0</formula>
    </cfRule>
    <cfRule type="cellIs" priority="6" operator="lessThanOrEqual" dxfId="0">
      <formula>0</formula>
    </cfRule>
  </conditionalFormatting>
  <conditionalFormatting sqref="B31:D31">
    <cfRule type="cellIs" priority="7" operator="lessThanOrEqual" dxfId="2">
      <formula>0</formula>
    </cfRule>
    <cfRule type="cellIs" priority="8" operator="greaterThan" dxfId="0">
      <formula>0</formula>
    </cfRule>
  </conditionalFormatting>
  <conditionalFormatting sqref="B32:D32">
    <cfRule type="cellIs" priority="24" operator="equal" dxfId="2">
      <formula>"PASS — CASH OUT"</formula>
    </cfRule>
    <cfRule type="cellIs" priority="25" operator="equal" dxfId="3">
      <formula>"GAP COVERED BY BUYER CASH"</formula>
    </cfRule>
    <cfRule type="cellIs" priority="26" operator="equal" dxfId="1">
      <formula>"NEEDS PLAN"</formula>
    </cfRule>
  </conditionalFormatting>
  <conditionalFormatting sqref="B35:D35">
    <cfRule type="cellIs" priority="9" operator="greaterThanOrEqual" dxfId="122">
      <formula>80</formula>
    </cfRule>
    <cfRule type="cellIs" priority="10" operator="between" dxfId="121">
      <formula>65</formula>
      <formula>79</formula>
    </cfRule>
    <cfRule type="cellIs" priority="11" operator="between" dxfId="120">
      <formula>50</formula>
      <formula>64</formula>
    </cfRule>
    <cfRule type="cellIs" priority="12" operator="lessThan" dxfId="119">
      <formula>50</formula>
    </cfRule>
  </conditionalFormatting>
  <conditionalFormatting sqref="B37:D37">
    <cfRule type="cellIs" priority="21" operator="equal" dxfId="2">
      <formula>0</formula>
    </cfRule>
    <cfRule type="cellIs" priority="22" operator="between" dxfId="1">
      <formula>1</formula>
      <formula>2</formula>
    </cfRule>
    <cfRule type="cellIs" priority="23" operator="greaterThanOrEqual" dxfId="0">
      <formula>3</formula>
    </cfRule>
  </conditionalFormatting>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P114"/>
  <sheetViews>
    <sheetView zoomScaleNormal="100" workbookViewId="0">
      <selection activeCell="H18" sqref="H18"/>
    </sheetView>
  </sheetViews>
  <sheetFormatPr baseColWidth="8" defaultColWidth="8.7109375" defaultRowHeight="15"/>
  <cols>
    <col width="28" customWidth="1" min="1" max="1"/>
    <col width="12" customWidth="1" min="2" max="16"/>
  </cols>
  <sheetData>
    <row r="1" ht="20.25" customHeight="1">
      <c r="A1" s="10" t="inlineStr">
        <is>
          <t>ZOXIRO — CAPITAL STRUCTURE SCENARIOS</t>
        </is>
      </c>
    </row>
    <row r="2" ht="15.75" customHeight="1">
      <c r="A2" s="12" t="inlineStr">
        <is>
          <t>Blank template — enter your deal inputs on the Assumptions and Scenarios tabs.</t>
        </is>
      </c>
    </row>
    <row r="4" ht="31.5" customHeight="1">
      <c r="A4" s="12" t="n"/>
      <c r="B4" s="12" t="inlineStr">
        <is>
          <t>Property 1</t>
        </is>
      </c>
      <c r="C4" s="12" t="inlineStr">
        <is>
          <t>Property 2</t>
        </is>
      </c>
      <c r="D4" s="12" t="inlineStr">
        <is>
          <t>Combined</t>
        </is>
      </c>
    </row>
    <row r="5">
      <c r="A5" s="8" t="inlineStr">
        <is>
          <t>PURCHASE TERMS  (yellow = editable)</t>
        </is>
      </c>
    </row>
    <row r="6">
      <c r="A6" s="25" t="inlineStr">
        <is>
          <t>Purchase Price ★</t>
        </is>
      </c>
      <c r="B6" s="90" t="n"/>
      <c r="C6" s="90" t="n"/>
      <c r="D6" s="86">
        <f>B6+C6</f>
        <v/>
      </c>
    </row>
    <row r="7">
      <c r="A7" s="15" t="inlineStr">
        <is>
          <t>Units</t>
        </is>
      </c>
      <c r="B7" s="91" t="n"/>
      <c r="C7" s="91" t="n"/>
      <c r="D7" s="91">
        <f>B7+C7</f>
        <v/>
      </c>
    </row>
    <row r="8">
      <c r="A8" s="15" t="inlineStr">
        <is>
          <t>Price Per Unit</t>
        </is>
      </c>
      <c r="B8" s="87">
        <f>IFERROR(B6/B7,"—")</f>
        <v/>
      </c>
      <c r="C8" s="87">
        <f>IFERROR(C6/C7,"—")</f>
        <v/>
      </c>
      <c r="D8" s="87">
        <f>IFERROR(D6/D7,"—")</f>
        <v/>
      </c>
    </row>
    <row r="10">
      <c r="A10" s="8" t="inlineStr">
        <is>
          <t>INCOME — Y1 (Lender T12) vs STABILIZED (Y3, Market Rents)</t>
        </is>
      </c>
    </row>
    <row r="11" ht="30" customHeight="1">
      <c r="A11" s="25" t="inlineStr">
        <is>
          <t>Y1 NOI (T12, incl. any day-one RUBS) ★</t>
        </is>
      </c>
      <c r="B11" s="90" t="n"/>
      <c r="C11" s="90" t="n"/>
      <c r="D11" s="86">
        <f>B11+C11</f>
        <v/>
      </c>
    </row>
    <row r="12" ht="30" customHeight="1">
      <c r="A12" s="25" t="inlineStr">
        <is>
          <t>Stabilized NOI (Y3, market rents) ★</t>
        </is>
      </c>
      <c r="B12" s="90" t="n"/>
      <c r="C12" s="90" t="n"/>
      <c r="D12" s="86">
        <f>B12+C12</f>
        <v/>
      </c>
    </row>
    <row r="13">
      <c r="A13" s="25" t="inlineStr">
        <is>
          <t>Going-In Cap (T12)</t>
        </is>
      </c>
      <c r="B13" s="92">
        <f>IFERROR(B11/B6,"—")</f>
        <v/>
      </c>
      <c r="C13" s="92">
        <f>IFERROR(C11/C6,"—")</f>
        <v/>
      </c>
      <c r="D13" s="92">
        <f>IFERROR(D11/D6,"—")</f>
        <v/>
      </c>
    </row>
    <row r="14">
      <c r="A14" s="15" t="inlineStr">
        <is>
          <t>Stabilized Cap</t>
        </is>
      </c>
      <c r="B14" s="93">
        <f>IFERROR(B12/B6,"—")</f>
        <v/>
      </c>
      <c r="C14" s="93">
        <f>IFERROR(C12/C6,"—")</f>
        <v/>
      </c>
      <c r="D14" s="93">
        <f>IFERROR(D12/D6,"—")</f>
        <v/>
      </c>
    </row>
    <row r="16">
      <c r="A16" s="8" t="inlineStr">
        <is>
          <t>FINANCING STRUCTURE — SOURCES OF FUNDS  (yellow = editable)</t>
        </is>
      </c>
    </row>
    <row r="17">
      <c r="A17" s="15" t="inlineStr">
        <is>
          <t>Senior LTV % ★</t>
        </is>
      </c>
      <c r="B17" s="94" t="n">
        <v>0.65</v>
      </c>
      <c r="C17" s="94" t="n">
        <v>0.65</v>
      </c>
      <c r="D17" s="93">
        <f>IFERROR(AVERAGE(B17,C17),"—")</f>
        <v/>
      </c>
    </row>
    <row r="18">
      <c r="A18" s="25" t="inlineStr">
        <is>
          <t>Senior Loan</t>
        </is>
      </c>
      <c r="B18" s="86">
        <f>B6*B17</f>
        <v/>
      </c>
      <c r="C18" s="86">
        <f>C6*C17</f>
        <v/>
      </c>
      <c r="D18" s="86">
        <f>B18+C18</f>
        <v/>
      </c>
    </row>
    <row r="19">
      <c r="A19" s="15" t="inlineStr">
        <is>
          <t>Senior Rate ★</t>
        </is>
      </c>
      <c r="B19" s="94" t="n">
        <v>0.075</v>
      </c>
      <c r="C19" s="94" t="n">
        <v>0.075</v>
      </c>
      <c r="D19" s="93">
        <f>IFERROR(AVERAGE(B19,C19),"—")</f>
        <v/>
      </c>
    </row>
    <row r="20">
      <c r="A20" s="15" t="inlineStr">
        <is>
          <t>Senior Term (yrs amort) ★</t>
        </is>
      </c>
      <c r="B20" s="95" t="n">
        <v>30</v>
      </c>
      <c r="C20" s="95" t="n">
        <v>30</v>
      </c>
      <c r="D20" s="91">
        <f>IFERROR(AVERAGE(B20,C20),"—")</f>
        <v/>
      </c>
    </row>
    <row r="21">
      <c r="A21" s="15" t="inlineStr">
        <is>
          <t>Senior Annual DS</t>
        </is>
      </c>
      <c r="B21" s="87">
        <f>IFERROR(-PMT(B19/12,B20*12,B18)*12,"—")</f>
        <v/>
      </c>
      <c r="C21" s="87">
        <f>IFERROR(-PMT(C19/12,C20*12,C18)*12,"—")</f>
        <v/>
      </c>
      <c r="D21" s="87">
        <f>B21+C21</f>
        <v/>
      </c>
    </row>
    <row r="22">
      <c r="A22" s="32" t="inlineStr">
        <is>
          <t>Transactional Funding Gap % ★</t>
        </is>
      </c>
      <c r="B22" s="94" t="n">
        <v>0.35</v>
      </c>
      <c r="C22" s="94" t="n">
        <v>0.35</v>
      </c>
      <c r="D22" s="93">
        <f>IFERROR(AVERAGE(B22,C22),"—")</f>
        <v/>
      </c>
    </row>
    <row r="23" ht="28.5" customHeight="1">
      <c r="A23" s="32" t="inlineStr">
        <is>
          <t>Transactional Funding $ (third party, same-day)</t>
        </is>
      </c>
      <c r="B23" s="86">
        <f>B6*B22</f>
        <v/>
      </c>
      <c r="C23" s="86">
        <f>C6*C22</f>
        <v/>
      </c>
      <c r="D23" s="86">
        <f>B23+C23</f>
        <v/>
      </c>
    </row>
    <row r="24">
      <c r="A24" s="32" t="inlineStr">
        <is>
          <t>Your Funder's Fee % ★</t>
        </is>
      </c>
      <c r="B24" s="94" t="n">
        <v>0</v>
      </c>
      <c r="C24" s="94" t="n">
        <v>0</v>
      </c>
      <c r="D24" s="93">
        <f>IFERROR(AVERAGE(B24,C24),"—")</f>
        <v/>
      </c>
    </row>
    <row r="25">
      <c r="A25" s="32" t="inlineStr">
        <is>
          <t>Transactional Funding Cost $</t>
        </is>
      </c>
      <c r="B25" s="87">
        <f>B23*B24</f>
        <v/>
      </c>
      <c r="C25" s="87">
        <f>C23*C24</f>
        <v/>
      </c>
      <c r="D25" s="87">
        <f>B25+C25</f>
        <v/>
      </c>
    </row>
    <row r="26">
      <c r="A26" s="15" t="inlineStr">
        <is>
          <t>Seller Carry % ★</t>
        </is>
      </c>
      <c r="B26" s="94" t="n">
        <v>0.5</v>
      </c>
      <c r="C26" s="94" t="n">
        <v>0.5</v>
      </c>
      <c r="D26" s="93">
        <f>IFERROR(AVERAGE(B26,C26),"—")</f>
        <v/>
      </c>
    </row>
    <row r="27">
      <c r="A27" s="25" t="inlineStr">
        <is>
          <t>Seller Carry $</t>
        </is>
      </c>
      <c r="B27" s="86">
        <f>B6*B26</f>
        <v/>
      </c>
      <c r="C27" s="86">
        <f>C6*C26</f>
        <v/>
      </c>
      <c r="D27" s="86">
        <f>B27+C27</f>
        <v/>
      </c>
    </row>
    <row r="28">
      <c r="A28" s="15" t="inlineStr">
        <is>
          <t>Carry Rate ★</t>
        </is>
      </c>
      <c r="B28" s="94" t="n">
        <v>0</v>
      </c>
      <c r="C28" s="94" t="n">
        <v>0</v>
      </c>
      <c r="D28" s="93">
        <f>IFERROR(AVERAGE(B28,C28),"—")</f>
        <v/>
      </c>
    </row>
    <row r="29">
      <c r="A29" s="15" t="inlineStr">
        <is>
          <t>Carry Annual DS</t>
        </is>
      </c>
      <c r="B29" s="87">
        <f>B27*B28</f>
        <v/>
      </c>
      <c r="C29" s="87">
        <f>C27*C28</f>
        <v/>
      </c>
      <c r="D29" s="87">
        <f>B29+C29</f>
        <v/>
      </c>
    </row>
    <row r="30">
      <c r="A30" s="15" t="inlineStr">
        <is>
          <t>Balloon Term (yrs) ★</t>
        </is>
      </c>
      <c r="B30" s="95" t="n">
        <v>10</v>
      </c>
      <c r="C30" s="95" t="n">
        <v>10</v>
      </c>
      <c r="D30" s="91">
        <f>IFERROR(AVERAGE(B30,C30),"—")</f>
        <v/>
      </c>
    </row>
    <row r="31">
      <c r="A31" s="25" t="inlineStr">
        <is>
          <t>TOTAL ANNUAL DS</t>
        </is>
      </c>
      <c r="B31" s="96">
        <f>B21+B29</f>
        <v/>
      </c>
      <c r="C31" s="96">
        <f>C21+C29</f>
        <v/>
      </c>
      <c r="D31" s="96">
        <f>B31+C31</f>
        <v/>
      </c>
    </row>
    <row r="33">
      <c r="A33" s="8" t="inlineStr">
        <is>
          <t>SOURCES &amp; USES AT CLOSE — Where Every Dollar Moves</t>
        </is>
      </c>
    </row>
    <row r="34" ht="15.75" customHeight="1">
      <c r="A34" s="11" t="inlineStr">
        <is>
          <t>SOURCES OF FUNDS:</t>
        </is>
      </c>
    </row>
    <row r="35">
      <c r="A35" s="15" t="inlineStr">
        <is>
          <t xml:space="preserve">  Senior DSCR Loan</t>
        </is>
      </c>
      <c r="B35" s="87">
        <f>B18</f>
        <v/>
      </c>
      <c r="C35" s="87">
        <f>C18</f>
        <v/>
      </c>
      <c r="D35" s="87">
        <f>D18</f>
        <v/>
      </c>
    </row>
    <row r="36" ht="28.5" customHeight="1">
      <c r="A36" s="15" t="inlineStr">
        <is>
          <t xml:space="preserve">  Transactional Funding (third party, same-day)</t>
        </is>
      </c>
      <c r="B36" s="87">
        <f>B23</f>
        <v/>
      </c>
      <c r="C36" s="87">
        <f>C23</f>
        <v/>
      </c>
      <c r="D36" s="87">
        <f>D23</f>
        <v/>
      </c>
    </row>
    <row r="37" ht="30" customHeight="1">
      <c r="A37" s="25" t="inlineStr">
        <is>
          <t>TOTAL SOURCES (must = Purchase Price)</t>
        </is>
      </c>
      <c r="B37" s="96">
        <f>B35+B36</f>
        <v/>
      </c>
      <c r="C37" s="96">
        <f>C35+C36</f>
        <v/>
      </c>
      <c r="D37" s="96">
        <f>B37+C37</f>
        <v/>
      </c>
    </row>
    <row r="38" ht="28.5" customHeight="1">
      <c r="A38" s="32" t="inlineStr">
        <is>
          <t xml:space="preserve">  Sources = Purchase Price?</t>
        </is>
      </c>
      <c r="B38" s="34">
        <f>IF(ROUND(B37-B6,0)=0,"✓ MATCH","✗ MISMATCH")</f>
        <v/>
      </c>
      <c r="C38" s="34">
        <f>IF(ROUND(C37-C6,0)=0,"✓ MATCH","✗ MISMATCH")</f>
        <v/>
      </c>
      <c r="D38" s="34">
        <f>IF(ROUND(D37-D6,0)=0,"✓ MATCH","✗ MISMATCH")</f>
        <v/>
      </c>
    </row>
    <row r="40" ht="31.5" customHeight="1">
      <c r="A40" s="11" t="inlineStr">
        <is>
          <t>USES OF FUNDS (where the cash flows):</t>
        </is>
      </c>
    </row>
    <row r="41">
      <c r="A41" s="15" t="inlineStr">
        <is>
          <t xml:space="preserve">  Cash to Seller (gross)</t>
        </is>
      </c>
      <c r="B41" s="87">
        <f>B6</f>
        <v/>
      </c>
      <c r="C41" s="87">
        <f>C6</f>
        <v/>
      </c>
      <c r="D41" s="87">
        <f>D6</f>
        <v/>
      </c>
    </row>
    <row r="42" ht="28.5" customHeight="1">
      <c r="A42" s="32" t="inlineStr">
        <is>
          <t xml:space="preserve">  Less: Seller Carry-back to Buyer</t>
        </is>
      </c>
      <c r="B42" s="87">
        <f>-B27</f>
        <v/>
      </c>
      <c r="C42" s="87">
        <f>-C27</f>
        <v/>
      </c>
      <c r="D42" s="87">
        <f>-D27</f>
        <v/>
      </c>
    </row>
    <row r="43" ht="30" customHeight="1">
      <c r="A43" s="25" t="inlineStr">
        <is>
          <t>SELLER NET CASH AT CLOSE</t>
        </is>
      </c>
      <c r="B43" s="97">
        <f>B41+B42</f>
        <v/>
      </c>
      <c r="C43" s="97">
        <f>C41+C42</f>
        <v/>
      </c>
      <c r="D43" s="97">
        <f>D41+D42</f>
        <v/>
      </c>
    </row>
    <row r="45">
      <c r="A45" s="8" t="inlineStr">
        <is>
          <t>BUYER CASH POSITION AT CLOSE — Walk-Away Cash</t>
        </is>
      </c>
    </row>
    <row r="46" ht="28.5" customHeight="1">
      <c r="A46" s="15" t="inlineStr">
        <is>
          <t xml:space="preserve">  Carry-back (cash rebated to buyer)</t>
        </is>
      </c>
      <c r="B46" s="87">
        <f>B27</f>
        <v/>
      </c>
      <c r="C46" s="87">
        <f>C27</f>
        <v/>
      </c>
      <c r="D46" s="87">
        <f>D27</f>
        <v/>
      </c>
    </row>
    <row r="47" ht="28.5" customHeight="1">
      <c r="A47" s="32" t="inlineStr">
        <is>
          <t xml:space="preserve">  Less: transactional funding principal repaid</t>
        </is>
      </c>
      <c r="B47" s="87">
        <f>-B23</f>
        <v/>
      </c>
      <c r="C47" s="87">
        <f>-C23</f>
        <v/>
      </c>
      <c r="D47" s="87">
        <f>-D23</f>
        <v/>
      </c>
    </row>
    <row r="48" ht="28.5" customHeight="1">
      <c r="A48" s="32" t="inlineStr">
        <is>
          <t xml:space="preserve">  Less: your funder's fee</t>
        </is>
      </c>
      <c r="B48" s="87">
        <f>-B25</f>
        <v/>
      </c>
      <c r="C48" s="87">
        <f>-C25</f>
        <v/>
      </c>
      <c r="D48" s="87">
        <f>-D25</f>
        <v/>
      </c>
    </row>
    <row r="49" ht="30" customHeight="1">
      <c r="A49" s="25" t="inlineStr">
        <is>
          <t>BUYER NET CASH AT CLOSE</t>
        </is>
      </c>
      <c r="B49" s="97">
        <f>B46+B47+B48</f>
        <v/>
      </c>
      <c r="C49" s="97">
        <f>C46+C47+C48</f>
        <v/>
      </c>
      <c r="D49" s="97">
        <f>D46+D47+D48</f>
        <v/>
      </c>
    </row>
    <row r="51">
      <c r="A51" s="8" t="inlineStr">
        <is>
          <t>DSCR &amp; CASH FLOW — ALL GREEN TARGETS</t>
        </is>
      </c>
    </row>
    <row r="52" ht="30" customHeight="1">
      <c r="A52" s="25" t="inlineStr">
        <is>
          <t>Y1 DSCR — Senior (target ≥1.25x)</t>
        </is>
      </c>
      <c r="B52" s="36">
        <f>IFERROR(B11/B21,"—")</f>
        <v/>
      </c>
      <c r="C52" s="36">
        <f>IFERROR(C11/C21,"—")</f>
        <v/>
      </c>
      <c r="D52" s="36">
        <f>IFERROR(D11/D21,"—")</f>
        <v/>
      </c>
    </row>
    <row r="53" ht="30" customHeight="1">
      <c r="A53" s="25" t="inlineStr">
        <is>
          <t>Y1 DSCR — Total Debt (≥1.10x)</t>
        </is>
      </c>
      <c r="B53" s="36">
        <f>IFERROR(B11/B31,"—")</f>
        <v/>
      </c>
      <c r="C53" s="36">
        <f>IFERROR(C11/C31,"—")</f>
        <v/>
      </c>
      <c r="D53" s="36">
        <f>IFERROR(D11/D31,"—")</f>
        <v/>
      </c>
    </row>
    <row r="54">
      <c r="A54" s="15" t="inlineStr">
        <is>
          <t>Stabilized DSCR</t>
        </is>
      </c>
      <c r="B54" s="37">
        <f>IFERROR(B12/B31,"—")</f>
        <v/>
      </c>
      <c r="C54" s="37">
        <f>IFERROR(C12/C31,"—")</f>
        <v/>
      </c>
      <c r="D54" s="37">
        <f>IFERROR(D12/D31,"—")</f>
        <v/>
      </c>
    </row>
    <row r="55">
      <c r="A55" s="25" t="inlineStr">
        <is>
          <t>Y1 Cash Flow After Debt Service (before tax, target &gt; 0)</t>
        </is>
      </c>
      <c r="B55" s="86">
        <f>B11-B31</f>
        <v/>
      </c>
      <c r="C55" s="86">
        <f>C11-C31</f>
        <v/>
      </c>
      <c r="D55" s="86">
        <f>D11-D31</f>
        <v/>
      </c>
    </row>
    <row r="56">
      <c r="A56" s="25" t="inlineStr">
        <is>
          <t>Y1 Monthly Cash Flow (before tax)</t>
        </is>
      </c>
      <c r="B56" s="86">
        <f>IFERROR(B55/12,"—")</f>
        <v/>
      </c>
      <c r="C56" s="86">
        <f>IFERROR(C55/12,"—")</f>
        <v/>
      </c>
      <c r="D56" s="86">
        <f>IFERROR(D55/12,"—")</f>
        <v/>
      </c>
    </row>
    <row r="57">
      <c r="A57" s="25" t="inlineStr">
        <is>
          <t>Stabilized Annual Cash Flow (before tax)</t>
        </is>
      </c>
      <c r="B57" s="86">
        <f>B12-B31</f>
        <v/>
      </c>
      <c r="C57" s="86">
        <f>C12-C31</f>
        <v/>
      </c>
      <c r="D57" s="86">
        <f>D12-D31</f>
        <v/>
      </c>
    </row>
    <row r="58">
      <c r="A58" s="25" t="inlineStr">
        <is>
          <t>Stabilized Monthly Cash Flow (before tax)</t>
        </is>
      </c>
      <c r="B58" s="86">
        <f>IFERROR(B57/12,"—")</f>
        <v/>
      </c>
      <c r="C58" s="86">
        <f>IFERROR(C57/12,"—")</f>
        <v/>
      </c>
      <c r="D58" s="86">
        <f>IFERROR(D57/12,"—")</f>
        <v/>
      </c>
    </row>
    <row r="60">
      <c r="A60" s="8" t="inlineStr">
        <is>
          <t>REFI EXIT AT BALLOON YEAR  (cap rate, LTV, refi rate and min DSCR all read from Assumptions)</t>
        </is>
      </c>
    </row>
    <row r="61" ht="28.5" customHeight="1">
      <c r="A61" s="15" t="inlineStr">
        <is>
          <t>NOI at Balloon (uses Balloon Term)</t>
        </is>
      </c>
      <c r="B61" s="87">
        <f>IFERROR(IF(B30&lt;=3,B11+(B12-B11)*(B30/3),B12*(1+Assumptions!B41)^(B30-3)),"—")</f>
        <v/>
      </c>
      <c r="C61" s="87">
        <f>IFERROR(IF(C30&lt;=3,C11+(C12-C11)*(C30/3),C12*(1+Cash_Flow_10yr!$B$5)^(C30-3)),"—")</f>
        <v/>
      </c>
      <c r="D61" s="87">
        <f>B61+C61</f>
        <v/>
      </c>
    </row>
    <row r="62" ht="28.5" customHeight="1">
      <c r="A62" s="15" t="inlineStr">
        <is>
          <t>Asset Value at Balloon (at Refi Cap Rate)</t>
        </is>
      </c>
      <c r="B62" s="87">
        <f>IFERROR(B61/Assumptions!B54,"—")</f>
        <v/>
      </c>
      <c r="C62" s="87">
        <f>IFERROR(C61/Assumptions!$B$54,"—")</f>
        <v/>
      </c>
      <c r="D62" s="87">
        <f>IFERROR(D61/Assumptions!$B$54,"—")</f>
        <v/>
      </c>
    </row>
    <row r="63">
      <c r="A63" s="15" t="inlineStr">
        <is>
          <t>Senior Balance at Balloon</t>
        </is>
      </c>
      <c r="B63" s="87">
        <f>IFERROR(B18*((1+B19/12)^(B20*12)-(1+B19/12)^(B30*12))/((1+B19/12)^(B20*12)-1),"—")</f>
        <v/>
      </c>
      <c r="C63" s="87">
        <f>IFERROR(C18*((1+C19/12)^(C20*12)-(1+C19/12)^(C30*12))/((1+C19/12)^(C20*12)-1),"—")</f>
        <v/>
      </c>
      <c r="D63" s="87">
        <f>B63+C63</f>
        <v/>
      </c>
    </row>
    <row r="64">
      <c r="A64" s="15" t="inlineStr">
        <is>
          <t>Carry Balance at Balloon</t>
        </is>
      </c>
      <c r="B64" s="87">
        <f>IF(Assumptions!B23=3,B27*(1+B28)^B30,B27)</f>
        <v/>
      </c>
      <c r="C64" s="87">
        <f>C27*(1+C28)^C30</f>
        <v/>
      </c>
      <c r="D64" s="87">
        <f>B64+C64</f>
        <v/>
      </c>
    </row>
    <row r="65">
      <c r="A65" s="15" t="inlineStr">
        <is>
          <t>Total Stack at Balloon</t>
        </is>
      </c>
      <c r="B65" s="87">
        <f>B63+B64</f>
        <v/>
      </c>
      <c r="C65" s="87">
        <f>C63+C64</f>
        <v/>
      </c>
      <c r="D65" s="87">
        <f>B65+C65</f>
        <v/>
      </c>
    </row>
    <row r="66" ht="28.5" customHeight="1">
      <c r="A66" s="15" t="inlineStr">
        <is>
          <t>Max Refi Loan (LTV/DSCR limit)</t>
        </is>
      </c>
      <c r="B66" s="87">
        <f>IFERROR(MIN(B62*Assumptions!B55,PV(Assumptions!B56/12,360,-B61/Assumptions!B57/12)),"—")</f>
        <v/>
      </c>
      <c r="C66" s="87">
        <f>IFERROR(MIN(C62*Assumptions!$B$55,PV(Assumptions!$B$56/12,360,-C61/Assumptions!$B$57/12)),"—")</f>
        <v/>
      </c>
      <c r="D66" s="87">
        <f>IFERROR(MIN(D62*Assumptions!$B$55,PV(Assumptions!$B$56/12,360,-D61/Assumptions!$B$57/12)),"—")</f>
        <v/>
      </c>
    </row>
    <row r="67">
      <c r="A67" s="25" t="inlineStr">
        <is>
          <t>REFI GAP (target ≤ 0)</t>
        </is>
      </c>
      <c r="B67" s="86">
        <f>B65-B66</f>
        <v/>
      </c>
      <c r="C67" s="86">
        <f>C65-C66</f>
        <v/>
      </c>
      <c r="D67" s="86">
        <f>D65-D66</f>
        <v/>
      </c>
    </row>
    <row r="68">
      <c r="A68" s="25" t="inlineStr">
        <is>
          <t>Cash-Out at Refi</t>
        </is>
      </c>
      <c r="B68" s="86">
        <f>IFERROR(MAX(0,-B67),"—")</f>
        <v/>
      </c>
      <c r="C68" s="86">
        <f>IFERROR(MAX(0,-C67),"—")</f>
        <v/>
      </c>
      <c r="D68" s="86">
        <f>IFERROR(MAX(0,-D67),"—")</f>
        <v/>
      </c>
    </row>
    <row r="70" ht="20.25" customHeight="1">
      <c r="A70" s="10" t="inlineStr">
        <is>
          <t>ALL-GREEN TEST RESULTS</t>
        </is>
      </c>
    </row>
    <row r="71">
      <c r="A71" s="25" t="inlineStr">
        <is>
          <t>Y1 Senior DSCR ≥ 1.25x</t>
        </is>
      </c>
      <c r="B71" s="34">
        <f>IF(B52&gt;=Assumptions!$B$57,"PASS","FAIL")</f>
        <v/>
      </c>
      <c r="C71" s="34">
        <f>IF(C52&gt;=Assumptions!$B$57,"PASS","FAIL")</f>
        <v/>
      </c>
      <c r="D71" s="34">
        <f>IF(D52&gt;=Assumptions!$B$57,"PASS","FAIL")</f>
        <v/>
      </c>
    </row>
    <row r="72">
      <c r="A72" s="25" t="inlineStr">
        <is>
          <t>Y1 Total DSCR ≥ 1.10x</t>
        </is>
      </c>
      <c r="B72" s="34">
        <f>IF(B53&gt;=1.1,"PASS","FAIL")</f>
        <v/>
      </c>
      <c r="C72" s="34">
        <f>IF(C53&gt;=1.1,"PASS","FAIL")</f>
        <v/>
      </c>
      <c r="D72" s="34">
        <f>IF(D53&gt;=1.1,"PASS","FAIL")</f>
        <v/>
      </c>
    </row>
    <row r="73">
      <c r="A73" s="25" t="inlineStr">
        <is>
          <t>Y1 CFAT &gt; $0</t>
        </is>
      </c>
      <c r="B73" s="34">
        <f>IF(B55&gt;0,"PASS","FAIL")</f>
        <v/>
      </c>
      <c r="C73" s="34">
        <f>IF(C55&gt;0,"PASS","FAIL")</f>
        <v/>
      </c>
      <c r="D73" s="34">
        <f>IF(D55&gt;0,"PASS","FAIL")</f>
        <v/>
      </c>
    </row>
    <row r="74">
      <c r="A74" s="25" t="inlineStr">
        <is>
          <t>Refi Gap ≤ $0 (cash-out)</t>
        </is>
      </c>
      <c r="B74" s="34">
        <f>IF(B67&lt;=0,"PASS","FAIL")</f>
        <v/>
      </c>
      <c r="C74" s="34">
        <f>IF(C67&lt;=0,"PASS","FAIL")</f>
        <v/>
      </c>
      <c r="D74" s="34">
        <f>IF(D67&lt;=0,"PASS","FAIL")</f>
        <v/>
      </c>
    </row>
    <row r="75">
      <c r="A75" s="25" t="inlineStr">
        <is>
          <t>Buyer Cash at Close &gt; $0</t>
        </is>
      </c>
      <c r="B75" s="34">
        <f>IF(B49&gt;0,"PASS","FAIL")</f>
        <v/>
      </c>
      <c r="C75" s="34">
        <f>IF(C49&gt;0,"PASS","FAIL")</f>
        <v/>
      </c>
      <c r="D75" s="34">
        <f>IF(D49&gt;0,"PASS","FAIL")</f>
        <v/>
      </c>
    </row>
    <row r="76" ht="18" customHeight="1">
      <c r="A76" s="38" t="inlineStr">
        <is>
          <t>ALL TESTS PASS?</t>
        </is>
      </c>
      <c r="B76" s="39">
        <f>IF(AND(B71="PASS",B72="PASS",B73="PASS",B74="PASS",B75="PASS"),"ALL GREEN","CHECK")</f>
        <v/>
      </c>
      <c r="C76" s="39">
        <f>IF(AND(C71="PASS",C72="PASS",C73="PASS",C74="PASS",C75="PASS"),"ALL GREEN","CHECK")</f>
        <v/>
      </c>
      <c r="D76" s="39">
        <f>IF(AND(D71="PASS",D72="PASS",D73="PASS",D74="PASS",D75="PASS"),"ALL GREEN","CHECK")</f>
        <v/>
      </c>
      <c r="F76" s="7" t="n"/>
    </row>
    <row r="78" ht="20.25" customHeight="1">
      <c r="A78" s="10" t="inlineStr">
        <is>
          <t>YEAR-BY-YEAR REFI FEASIBILITY — When Can the Buyer Refinance?</t>
        </is>
      </c>
    </row>
    <row r="79" ht="15.75" customHeight="1">
      <c r="A79" s="12" t="inlineStr">
        <is>
          <t>Combined Deal | 15-year horizon | Pulls from Capital Stack inputs above | Shows the earliest year the senior + carry stack can be refinanced</t>
        </is>
      </c>
    </row>
    <row r="80" ht="15.75" customHeight="1">
      <c r="A80" s="40" t="inlineStr">
        <is>
          <t>Metric</t>
        </is>
      </c>
      <c r="B80" s="40" t="inlineStr">
        <is>
          <t>Y1</t>
        </is>
      </c>
      <c r="C80" s="40" t="inlineStr">
        <is>
          <t>Y2</t>
        </is>
      </c>
      <c r="D80" s="40" t="inlineStr">
        <is>
          <t>Y3</t>
        </is>
      </c>
      <c r="E80" s="40" t="inlineStr">
        <is>
          <t>Y4</t>
        </is>
      </c>
      <c r="F80" s="40" t="inlineStr">
        <is>
          <t>Y5</t>
        </is>
      </c>
      <c r="G80" s="40" t="inlineStr">
        <is>
          <t>Y6</t>
        </is>
      </c>
      <c r="H80" s="40" t="inlineStr">
        <is>
          <t>Y7</t>
        </is>
      </c>
      <c r="I80" s="40" t="inlineStr">
        <is>
          <t>Y8</t>
        </is>
      </c>
      <c r="J80" s="40" t="inlineStr">
        <is>
          <t>Y9</t>
        </is>
      </c>
      <c r="K80" s="40" t="inlineStr">
        <is>
          <t>Y10</t>
        </is>
      </c>
      <c r="L80" s="40" t="inlineStr">
        <is>
          <t>Y11</t>
        </is>
      </c>
      <c r="M80" s="40" t="inlineStr">
        <is>
          <t>Y12</t>
        </is>
      </c>
      <c r="N80" s="40" t="inlineStr">
        <is>
          <t>Y13</t>
        </is>
      </c>
      <c r="O80" s="40" t="inlineStr">
        <is>
          <t>Y14</t>
        </is>
      </c>
      <c r="P80" s="40" t="inlineStr">
        <is>
          <t>Y15</t>
        </is>
      </c>
    </row>
    <row r="81">
      <c r="A81" s="41" t="inlineStr">
        <is>
          <t>NOI</t>
        </is>
      </c>
      <c r="B81" s="87">
        <f>D11</f>
        <v/>
      </c>
      <c r="C81" s="87">
        <f>IFERROR((D11+D12)/2,"—")</f>
        <v/>
      </c>
      <c r="D81" s="87">
        <f>D12</f>
        <v/>
      </c>
      <c r="E81" s="87">
        <f>D12*(1+Cash_Flow_10yr!$B$5)^(4-3)</f>
        <v/>
      </c>
      <c r="F81" s="87">
        <f>D12*(1+Cash_Flow_10yr!$B$5)^(5-3)</f>
        <v/>
      </c>
      <c r="G81" s="87">
        <f>D12*(1+Cash_Flow_10yr!$B$5)^(6-3)</f>
        <v/>
      </c>
      <c r="H81" s="87">
        <f>D12*(1+Cash_Flow_10yr!$B$5)^(7-3)</f>
        <v/>
      </c>
      <c r="I81" s="87">
        <f>D12*(1+Cash_Flow_10yr!$B$5)^(8-3)</f>
        <v/>
      </c>
      <c r="J81" s="87">
        <f>D12*(1+Cash_Flow_10yr!$B$5)^(9-3)</f>
        <v/>
      </c>
      <c r="K81" s="87">
        <f>D12*(1+Cash_Flow_10yr!$B$5)^(10-3)</f>
        <v/>
      </c>
      <c r="L81" s="87">
        <f>D12*(1+Cash_Flow_10yr!$B$5)^(11-3)</f>
        <v/>
      </c>
      <c r="M81" s="87">
        <f>D12*(1+Cash_Flow_10yr!$B$5)^(12-3)</f>
        <v/>
      </c>
      <c r="N81" s="87">
        <f>D12*(1+Cash_Flow_10yr!$B$5)^(13-3)</f>
        <v/>
      </c>
      <c r="O81" s="87">
        <f>D12*(1+Cash_Flow_10yr!$B$5)^(14-3)</f>
        <v/>
      </c>
      <c r="P81" s="87">
        <f>D12*(1+Cash_Flow_10yr!$B$5)^(15-3)</f>
        <v/>
      </c>
    </row>
    <row r="82">
      <c r="A82" s="42" t="inlineStr">
        <is>
          <t>Senior Balance</t>
        </is>
      </c>
      <c r="B82" s="87">
        <f>IFERROR(D18*((1+D19/12)^(D20*12)-(1+D19/12)^(1*12))/((1+D19/12)^(D20*12)-1),"—")</f>
        <v/>
      </c>
      <c r="C82" s="87">
        <f>IFERROR(D18*((1+D19/12)^(D20*12)-(1+D19/12)^(2*12))/((1+D19/12)^(D20*12)-1),"—")</f>
        <v/>
      </c>
      <c r="D82" s="87">
        <f>IFERROR(D18*((1+D19/12)^(D20*12)-(1+D19/12)^(3*12))/((1+D19/12)^(D20*12)-1),"—")</f>
        <v/>
      </c>
      <c r="E82" s="87">
        <f>IFERROR(D18*((1+D19/12)^(D20*12)-(1+D19/12)^(4*12))/((1+D19/12)^(D20*12)-1),"—")</f>
        <v/>
      </c>
      <c r="F82" s="87">
        <f>IFERROR(D18*((1+D19/12)^(D20*12)-(1+D19/12)^(5*12))/((1+D19/12)^(D20*12)-1),"—")</f>
        <v/>
      </c>
      <c r="G82" s="87">
        <f>IFERROR(D18*((1+D19/12)^(D20*12)-(1+D19/12)^(6*12))/((1+D19/12)^(D20*12)-1),"—")</f>
        <v/>
      </c>
      <c r="H82" s="87">
        <f>IFERROR(D18*((1+D19/12)^(D20*12)-(1+D19/12)^(7*12))/((1+D19/12)^(D20*12)-1),"—")</f>
        <v/>
      </c>
      <c r="I82" s="87">
        <f>IFERROR(D18*((1+D19/12)^(D20*12)-(1+D19/12)^(8*12))/((1+D19/12)^(D20*12)-1),"—")</f>
        <v/>
      </c>
      <c r="J82" s="87">
        <f>IFERROR(D18*((1+D19/12)^(D20*12)-(1+D19/12)^(9*12))/((1+D19/12)^(D20*12)-1),"—")</f>
        <v/>
      </c>
      <c r="K82" s="87">
        <f>IFERROR(D18*((1+D19/12)^(D20*12)-(1+D19/12)^(10*12))/((1+D19/12)^(D20*12)-1),"—")</f>
        <v/>
      </c>
      <c r="L82" s="87">
        <f>IFERROR(D18*((1+D19/12)^(D20*12)-(1+D19/12)^(11*12))/((1+D19/12)^(D20*12)-1),"—")</f>
        <v/>
      </c>
      <c r="M82" s="87">
        <f>IFERROR(D18*((1+D19/12)^(D20*12)-(1+D19/12)^(12*12))/((1+D19/12)^(D20*12)-1),"—")</f>
        <v/>
      </c>
      <c r="N82" s="87">
        <f>IFERROR(D18*((1+D19/12)^(D20*12)-(1+D19/12)^(13*12))/((1+D19/12)^(D20*12)-1),"—")</f>
        <v/>
      </c>
      <c r="O82" s="87">
        <f>IFERROR(D18*((1+D19/12)^(D20*12)-(1+D19/12)^(14*12))/((1+D19/12)^(D20*12)-1),"—")</f>
        <v/>
      </c>
      <c r="P82" s="87">
        <f>IFERROR(D18*((1+D19/12)^(D20*12)-(1+D19/12)^(15*12))/((1+D19/12)^(D20*12)-1),"—")</f>
        <v/>
      </c>
    </row>
    <row r="83">
      <c r="A83" s="42" t="inlineStr">
        <is>
          <t>Carry Balance</t>
        </is>
      </c>
      <c r="B83" s="87">
        <f>D27*(1+D28)^1</f>
        <v/>
      </c>
      <c r="C83" s="87">
        <f>D27*(1+D28)^2</f>
        <v/>
      </c>
      <c r="D83" s="87">
        <f>D27*(1+D28)^3</f>
        <v/>
      </c>
      <c r="E83" s="87">
        <f>D27*(1+D28)^4</f>
        <v/>
      </c>
      <c r="F83" s="87">
        <f>D27*(1+D28)^5</f>
        <v/>
      </c>
      <c r="G83" s="87">
        <f>D27*(1+D28)^6</f>
        <v/>
      </c>
      <c r="H83" s="87">
        <f>D27*(1+D28)^7</f>
        <v/>
      </c>
      <c r="I83" s="87">
        <f>D27*(1+D28)^8</f>
        <v/>
      </c>
      <c r="J83" s="87">
        <f>D27*(1+D28)^9</f>
        <v/>
      </c>
      <c r="K83" s="87">
        <f>D27*(1+D28)^10</f>
        <v/>
      </c>
      <c r="L83" s="87">
        <f>D27*(1+D28)^11</f>
        <v/>
      </c>
      <c r="M83" s="87">
        <f>D27*(1+D28)^12</f>
        <v/>
      </c>
      <c r="N83" s="87">
        <f>D27*(1+D28)^13</f>
        <v/>
      </c>
      <c r="O83" s="87">
        <f>D27*(1+D28)^14</f>
        <v/>
      </c>
      <c r="P83" s="87">
        <f>D27*(1+D28)^15</f>
        <v/>
      </c>
    </row>
    <row r="84">
      <c r="A84" s="41" t="inlineStr">
        <is>
          <t>Total Stack</t>
        </is>
      </c>
      <c r="B84" s="86">
        <f>B82+B83</f>
        <v/>
      </c>
      <c r="C84" s="86">
        <f>C82+C83</f>
        <v/>
      </c>
      <c r="D84" s="86">
        <f>D82+D83</f>
        <v/>
      </c>
      <c r="E84" s="86">
        <f>E82+E83</f>
        <v/>
      </c>
      <c r="F84" s="86">
        <f>F82+F83</f>
        <v/>
      </c>
      <c r="G84" s="86">
        <f>G82+G83</f>
        <v/>
      </c>
      <c r="H84" s="86">
        <f>H82+H83</f>
        <v/>
      </c>
      <c r="I84" s="86">
        <f>I82+I83</f>
        <v/>
      </c>
      <c r="J84" s="86">
        <f>J82+J83</f>
        <v/>
      </c>
      <c r="K84" s="86">
        <f>K82+K83</f>
        <v/>
      </c>
      <c r="L84" s="86">
        <f>L82+L83</f>
        <v/>
      </c>
      <c r="M84" s="86">
        <f>M82+M83</f>
        <v/>
      </c>
      <c r="N84" s="86">
        <f>N82+N83</f>
        <v/>
      </c>
      <c r="O84" s="86">
        <f>O82+O83</f>
        <v/>
      </c>
      <c r="P84" s="86">
        <f>P82+P83</f>
        <v/>
      </c>
    </row>
    <row r="85">
      <c r="A85" s="42" t="inlineStr">
        <is>
          <t>Asset Value</t>
        </is>
      </c>
      <c r="B85" s="87">
        <f>IFERROR(B81/Assumptions!B54,"—")</f>
        <v/>
      </c>
      <c r="C85" s="87">
        <f>IFERROR(C81/Assumptions!$B$54,"—")</f>
        <v/>
      </c>
      <c r="D85" s="87">
        <f>IFERROR(D81/Assumptions!$B$54,"—")</f>
        <v/>
      </c>
      <c r="E85" s="87">
        <f>IFERROR(E81/Assumptions!$B$54,"—")</f>
        <v/>
      </c>
      <c r="F85" s="87">
        <f>IFERROR(F81/Assumptions!$B$54,"—")</f>
        <v/>
      </c>
      <c r="G85" s="87">
        <f>IFERROR(G81/Assumptions!$B$54,"—")</f>
        <v/>
      </c>
      <c r="H85" s="87">
        <f>IFERROR(H81/Assumptions!$B$54,"—")</f>
        <v/>
      </c>
      <c r="I85" s="87">
        <f>IFERROR(I81/Assumptions!$B$54,"—")</f>
        <v/>
      </c>
      <c r="J85" s="87">
        <f>IFERROR(J81/Assumptions!$B$54,"—")</f>
        <v/>
      </c>
      <c r="K85" s="87">
        <f>IFERROR(K81/Assumptions!$B$54,"—")</f>
        <v/>
      </c>
      <c r="L85" s="87">
        <f>IFERROR(L81/Assumptions!$B$54,"—")</f>
        <v/>
      </c>
      <c r="M85" s="87">
        <f>IFERROR(M81/Assumptions!$B$54,"—")</f>
        <v/>
      </c>
      <c r="N85" s="87">
        <f>IFERROR(N81/Assumptions!$B$54,"—")</f>
        <v/>
      </c>
      <c r="O85" s="87">
        <f>IFERROR(O81/Assumptions!$B$54,"—")</f>
        <v/>
      </c>
      <c r="P85" s="87">
        <f>IFERROR(P81/Assumptions!$B$54,"—")</f>
        <v/>
      </c>
    </row>
    <row r="86">
      <c r="A86" s="41" t="inlineStr">
        <is>
          <t>Max Refi Loan</t>
        </is>
      </c>
      <c r="B86" s="86">
        <f>IFERROR(MIN(B85*Assumptions!B55,PV(Assumptions!B56/12,360,-B81/Assumptions!B57/12)),"—")</f>
        <v/>
      </c>
      <c r="C86" s="86">
        <f>IFERROR(MIN(C85*Assumptions!$B$55,PV(Assumptions!$B$56/12,360,-C81/Assumptions!$B$57/12)),"—")</f>
        <v/>
      </c>
      <c r="D86" s="86">
        <f>IFERROR(MIN(D85*Assumptions!$B$55,PV(Assumptions!$B$56/12,360,-D81/Assumptions!$B$57/12)),"—")</f>
        <v/>
      </c>
      <c r="E86" s="86">
        <f>IFERROR(MIN(E85*Assumptions!$B$55,PV(Assumptions!$B$56/12,360,-E81/Assumptions!$B$57/12)),"—")</f>
        <v/>
      </c>
      <c r="F86" s="86">
        <f>IFERROR(MIN(F85*Assumptions!$B$55,PV(Assumptions!$B$56/12,360,-F81/Assumptions!$B$57/12)),"—")</f>
        <v/>
      </c>
      <c r="G86" s="86">
        <f>IFERROR(MIN(G85*Assumptions!$B$55,PV(Assumptions!$B$56/12,360,-G81/Assumptions!$B$57/12)),"—")</f>
        <v/>
      </c>
      <c r="H86" s="86">
        <f>IFERROR(MIN(H85*Assumptions!$B$55,PV(Assumptions!$B$56/12,360,-H81/Assumptions!$B$57/12)),"—")</f>
        <v/>
      </c>
      <c r="I86" s="86">
        <f>IFERROR(MIN(I85*Assumptions!$B$55,PV(Assumptions!$B$56/12,360,-I81/Assumptions!$B$57/12)),"—")</f>
        <v/>
      </c>
      <c r="J86" s="86">
        <f>IFERROR(MIN(J85*Assumptions!$B$55,PV(Assumptions!$B$56/12,360,-J81/Assumptions!$B$57/12)),"—")</f>
        <v/>
      </c>
      <c r="K86" s="86">
        <f>IFERROR(MIN(K85*Assumptions!$B$55,PV(Assumptions!$B$56/12,360,-K81/Assumptions!$B$57/12)),"—")</f>
        <v/>
      </c>
      <c r="L86" s="86">
        <f>IFERROR(MIN(L85*Assumptions!$B$55,PV(Assumptions!$B$56/12,360,-L81/Assumptions!$B$57/12)),"—")</f>
        <v/>
      </c>
      <c r="M86" s="86">
        <f>IFERROR(MIN(M85*Assumptions!$B$55,PV(Assumptions!$B$56/12,360,-M81/Assumptions!$B$57/12)),"—")</f>
        <v/>
      </c>
      <c r="N86" s="86">
        <f>IFERROR(MIN(N85*Assumptions!$B$55,PV(Assumptions!$B$56/12,360,-N81/Assumptions!$B$57/12)),"—")</f>
        <v/>
      </c>
      <c r="O86" s="86">
        <f>IFERROR(MIN(O85*Assumptions!$B$55,PV(Assumptions!$B$56/12,360,-O81/Assumptions!$B$57/12)),"—")</f>
        <v/>
      </c>
      <c r="P86" s="86">
        <f>IFERROR(MIN(P85*Assumptions!$B$55,PV(Assumptions!$B$56/12,360,-P81/Assumptions!$B$57/12)),"—")</f>
        <v/>
      </c>
    </row>
    <row r="87">
      <c r="A87" s="41" t="inlineStr">
        <is>
          <t>Refi Gap</t>
        </is>
      </c>
      <c r="B87" s="86">
        <f>B84-B86</f>
        <v/>
      </c>
      <c r="C87" s="86">
        <f>C84-C86</f>
        <v/>
      </c>
      <c r="D87" s="86">
        <f>D84-D86</f>
        <v/>
      </c>
      <c r="E87" s="86">
        <f>E84-E86</f>
        <v/>
      </c>
      <c r="F87" s="86">
        <f>F84-F86</f>
        <v/>
      </c>
      <c r="G87" s="86">
        <f>G84-G86</f>
        <v/>
      </c>
      <c r="H87" s="86">
        <f>H84-H86</f>
        <v/>
      </c>
      <c r="I87" s="86">
        <f>I84-I86</f>
        <v/>
      </c>
      <c r="J87" s="86">
        <f>J84-J86</f>
        <v/>
      </c>
      <c r="K87" s="86">
        <f>K84-K86</f>
        <v/>
      </c>
      <c r="L87" s="86">
        <f>L84-L86</f>
        <v/>
      </c>
      <c r="M87" s="86">
        <f>M84-M86</f>
        <v/>
      </c>
      <c r="N87" s="86">
        <f>N84-N86</f>
        <v/>
      </c>
      <c r="O87" s="86">
        <f>O84-O86</f>
        <v/>
      </c>
      <c r="P87" s="86">
        <f>P84-P86</f>
        <v/>
      </c>
    </row>
    <row r="88">
      <c r="A88" s="42" t="inlineStr">
        <is>
          <t>Cash-Out at Refi</t>
        </is>
      </c>
      <c r="B88" s="87">
        <f>IFERROR(MAX(0,-B87),"—")</f>
        <v/>
      </c>
      <c r="C88" s="87">
        <f>IFERROR(MAX(0,-C87),"—")</f>
        <v/>
      </c>
      <c r="D88" s="87">
        <f>IFERROR(MAX(0,-D87),"—")</f>
        <v/>
      </c>
      <c r="E88" s="87">
        <f>IFERROR(MAX(0,-E87),"—")</f>
        <v/>
      </c>
      <c r="F88" s="87">
        <f>IFERROR(MAX(0,-F87),"—")</f>
        <v/>
      </c>
      <c r="G88" s="87">
        <f>IFERROR(MAX(0,-G87),"—")</f>
        <v/>
      </c>
      <c r="H88" s="87">
        <f>IFERROR(MAX(0,-H87),"—")</f>
        <v/>
      </c>
      <c r="I88" s="87">
        <f>IFERROR(MAX(0,-I87),"—")</f>
        <v/>
      </c>
      <c r="J88" s="87">
        <f>IFERROR(MAX(0,-J87),"—")</f>
        <v/>
      </c>
      <c r="K88" s="87">
        <f>IFERROR(MAX(0,-K87),"—")</f>
        <v/>
      </c>
      <c r="L88" s="87">
        <f>IFERROR(MAX(0,-L87),"—")</f>
        <v/>
      </c>
      <c r="M88" s="87">
        <f>IFERROR(MAX(0,-M87),"—")</f>
        <v/>
      </c>
      <c r="N88" s="87">
        <f>IFERROR(MAX(0,-N87),"—")</f>
        <v/>
      </c>
      <c r="O88" s="87">
        <f>IFERROR(MAX(0,-O87),"—")</f>
        <v/>
      </c>
      <c r="P88" s="87">
        <f>IFERROR(MAX(0,-P87),"—")</f>
        <v/>
      </c>
    </row>
    <row r="89">
      <c r="A89" s="42" t="inlineStr">
        <is>
          <t>Cash to Bring (if refi here)</t>
        </is>
      </c>
      <c r="B89" s="87">
        <f>IFERROR(MAX(0,B87),"—")</f>
        <v/>
      </c>
      <c r="C89" s="87">
        <f>IFERROR(MAX(0,C87),"—")</f>
        <v/>
      </c>
      <c r="D89" s="87">
        <f>IFERROR(MAX(0,D87),"—")</f>
        <v/>
      </c>
      <c r="E89" s="87">
        <f>IFERROR(MAX(0,E87),"—")</f>
        <v/>
      </c>
      <c r="F89" s="87">
        <f>IFERROR(MAX(0,F87),"—")</f>
        <v/>
      </c>
      <c r="G89" s="87">
        <f>IFERROR(MAX(0,G87),"—")</f>
        <v/>
      </c>
      <c r="H89" s="87">
        <f>IFERROR(MAX(0,H87),"—")</f>
        <v/>
      </c>
      <c r="I89" s="87">
        <f>IFERROR(MAX(0,I87),"—")</f>
        <v/>
      </c>
      <c r="J89" s="87">
        <f>IFERROR(MAX(0,J87),"—")</f>
        <v/>
      </c>
      <c r="K89" s="87">
        <f>IFERROR(MAX(0,K87),"—")</f>
        <v/>
      </c>
      <c r="L89" s="87">
        <f>IFERROR(MAX(0,L87),"—")</f>
        <v/>
      </c>
      <c r="M89" s="87">
        <f>IFERROR(MAX(0,M87),"—")</f>
        <v/>
      </c>
      <c r="N89" s="87">
        <f>IFERROR(MAX(0,N87),"—")</f>
        <v/>
      </c>
      <c r="O89" s="87">
        <f>IFERROR(MAX(0,O87),"—")</f>
        <v/>
      </c>
      <c r="P89" s="87">
        <f>IFERROR(MAX(0,P87),"—")</f>
        <v/>
      </c>
    </row>
    <row r="90" ht="15.75" customHeight="1">
      <c r="A90" s="11" t="inlineStr">
        <is>
          <t>OK TO REFI?</t>
        </is>
      </c>
      <c r="B90" s="43">
        <f>IF(B87&lt;=0,"WAIT","NO")</f>
        <v/>
      </c>
      <c r="C90" s="43">
        <f>IF(C87&lt;=0,"WAIT","NO")</f>
        <v/>
      </c>
      <c r="D90" s="43">
        <f>IF(D87&lt;=0,"YES","NO")</f>
        <v/>
      </c>
      <c r="E90" s="43">
        <f>IF(E87&lt;=0,"YES","NO")</f>
        <v/>
      </c>
      <c r="F90" s="43">
        <f>IF(F87&lt;=0,"YES","NO")</f>
        <v/>
      </c>
      <c r="G90" s="43">
        <f>IF(G87&lt;=0,"YES","NO")</f>
        <v/>
      </c>
      <c r="H90" s="43">
        <f>IF(H87&lt;=0,"YES","NO")</f>
        <v/>
      </c>
      <c r="I90" s="43">
        <f>IF(I87&lt;=0,"YES","NO")</f>
        <v/>
      </c>
      <c r="J90" s="43">
        <f>IF(J87&lt;=0,"YES","NO")</f>
        <v/>
      </c>
      <c r="K90" s="43">
        <f>IF(K87&lt;=0,"YES","NO")</f>
        <v/>
      </c>
      <c r="L90" s="43">
        <f>IF(L87&lt;=0,"YES","NO")</f>
        <v/>
      </c>
      <c r="M90" s="43">
        <f>IF(M87&lt;=0,"YES","NO")</f>
        <v/>
      </c>
      <c r="N90" s="43">
        <f>IF(N87&lt;=0,"YES","NO")</f>
        <v/>
      </c>
      <c r="O90" s="43">
        <f>IF(O87&lt;=0,"YES","NO")</f>
        <v/>
      </c>
      <c r="P90" s="43">
        <f>IF(P87&lt;=0,"YES","NO")</f>
        <v/>
      </c>
    </row>
    <row r="91">
      <c r="A91" s="15" t="n"/>
      <c r="B91" s="44" t="n"/>
      <c r="C91" s="44" t="n"/>
      <c r="D91" s="44" t="n"/>
      <c r="E91" s="44" t="n"/>
      <c r="F91" s="44" t="n"/>
      <c r="G91" s="44" t="n"/>
      <c r="H91" s="44" t="n"/>
      <c r="I91" s="44" t="n"/>
      <c r="J91" s="44" t="n"/>
      <c r="K91" s="44" t="n"/>
      <c r="L91" s="44" t="n"/>
      <c r="M91" s="44" t="n"/>
      <c r="N91" s="44" t="n"/>
    </row>
    <row r="92" ht="45" customHeight="1">
      <c r="A92" s="45" t="inlineStr">
        <is>
          <t>EARLIEST CLEAN REFI:</t>
        </is>
      </c>
      <c r="B92" s="46">
        <f>IFERROR(INDEX($B$80:$P$80,MATCH("YES",$B$90:$P$90,0)),"None within 15 yrs")</f>
        <v/>
      </c>
      <c r="C92" s="47" t="inlineStr">
        <is>
          <t>Cash-Out at that year:</t>
        </is>
      </c>
      <c r="D92" s="98">
        <f>IFERROR(INDEX($B$88:$P$88,MATCH("YES",$B$90:$P$90,0)),0)</f>
        <v/>
      </c>
      <c r="E92" s="44" t="n"/>
      <c r="F92" s="44" t="n"/>
      <c r="G92" s="44" t="n"/>
      <c r="H92" s="44" t="n"/>
      <c r="I92" s="44" t="n"/>
      <c r="J92" s="44" t="n"/>
      <c r="K92" s="44" t="n"/>
      <c r="L92" s="44" t="n"/>
      <c r="M92" s="44" t="n"/>
      <c r="N92" s="44" t="n"/>
    </row>
    <row r="93" ht="30" customHeight="1">
      <c r="A93" s="41" t="inlineStr">
        <is>
          <t>Y10 BALLOON (carry matures):</t>
        </is>
      </c>
      <c r="B93" s="44" t="n"/>
      <c r="C93" s="44" t="n"/>
      <c r="D93" s="44" t="n"/>
      <c r="E93" s="44" t="n"/>
      <c r="F93" s="44" t="n"/>
      <c r="G93" s="44" t="n"/>
      <c r="H93" s="44" t="n"/>
      <c r="I93" s="44" t="n"/>
      <c r="J93" s="44" t="n"/>
      <c r="K93" s="99">
        <f>K89</f>
        <v/>
      </c>
      <c r="L93" s="41" t="inlineStr">
        <is>
          <t>Y10 Cash to Bring</t>
        </is>
      </c>
      <c r="M93" s="44" t="n"/>
      <c r="N93" s="44" t="n"/>
    </row>
    <row r="94">
      <c r="A94" s="15" t="n"/>
      <c r="B94" s="44" t="n"/>
      <c r="C94" s="44" t="n"/>
      <c r="D94" s="44" t="n"/>
      <c r="E94" s="44" t="n"/>
      <c r="F94" s="44" t="n"/>
      <c r="G94" s="44" t="n"/>
      <c r="H94" s="44" t="n"/>
      <c r="I94" s="44" t="n"/>
      <c r="J94" s="44" t="n"/>
      <c r="K94" s="44" t="n"/>
      <c r="L94" s="44" t="n"/>
      <c r="M94" s="44" t="n"/>
      <c r="N94" s="44" t="n"/>
    </row>
    <row r="95">
      <c r="A95" s="8" t="inlineStr">
        <is>
          <t>HOW THIS STRUCTURE WORKS</t>
        </is>
      </c>
    </row>
    <row r="96">
      <c r="A96" s="50" t="inlineStr">
        <is>
          <t>AT CLOSE — three sources fund the purchase:</t>
        </is>
      </c>
    </row>
    <row r="97">
      <c r="A97" s="50" t="inlineStr">
        <is>
          <t xml:space="preserve">  1. Senior DSCR loan — wires to title for the seller</t>
        </is>
      </c>
    </row>
    <row r="98">
      <c r="A98" s="50" t="inlineStr">
        <is>
          <t xml:space="preserve">  2. Transactional funding covers the remaining gap — wires to title same-day, repaid same-day from the carry rebate</t>
        </is>
      </c>
    </row>
    <row r="99">
      <c r="A99" s="50" t="inlineStr">
        <is>
          <t xml:space="preserve">  3. Seller carry — a paper note; the seller takes part of the price as a 2nd lien instead of cash</t>
        </is>
      </c>
    </row>
    <row r="100">
      <c r="A100" s="50" t="n"/>
    </row>
    <row r="101">
      <c r="A101" s="50" t="inlineStr">
        <is>
          <t>THE REBATE FLOW: sources fund the full purchase price → title pays the seller in full → the seller signs a carry note back to the buyer → that note amount is the rebate the buyer works with.</t>
        </is>
      </c>
    </row>
    <row r="102">
      <c r="A102" s="50" t="n"/>
    </row>
    <row r="103">
      <c r="A103" s="50" t="inlineStr">
        <is>
          <t>BUYER USES the rebate to:</t>
        </is>
      </c>
    </row>
    <row r="104">
      <c r="A104" s="50" t="inlineStr">
        <is>
          <t xml:space="preserve">  - Pay back funding partner principal</t>
        </is>
      </c>
    </row>
    <row r="105">
      <c r="A105" s="50" t="inlineStr">
        <is>
          <t xml:space="preserve">  - Pay your funder's fee</t>
        </is>
      </c>
    </row>
    <row r="106">
      <c r="A106" s="50" t="inlineStr">
        <is>
          <t xml:space="preserve">  - Keep the balance as reserves</t>
        </is>
      </c>
    </row>
    <row r="107">
      <c r="A107" s="50" t="inlineStr">
        <is>
          <t>NOTE: Zoxiro does not provide transactional funding and does not recommend a funder. Source your own and enter their actual terms above.</t>
        </is>
      </c>
    </row>
    <row r="108">
      <c r="A108" s="50" t="inlineStr">
        <is>
          <t>REFI STRATEGY: if the balloon year shows a shortfall, it needs cash brought to the refi or a carry extension. Check which year first clears with a cash-out and whether the seller would extend that far.</t>
        </is>
      </c>
    </row>
    <row r="109">
      <c r="A109" s="50" t="n"/>
    </row>
    <row r="110">
      <c r="A110" s="50" t="inlineStr">
        <is>
          <t>WHY A SELLER MIGHT SAY YES: they still receive full asking price over the carry term, take cash at close, hold a secured lien position, and may get installment-sale tax treatment. Confirm all of this with their own advisers — never characterise their tax position for them.</t>
        </is>
      </c>
    </row>
    <row r="111">
      <c r="A111" s="50" t="n"/>
    </row>
    <row r="112">
      <c r="A112" s="50" t="inlineStr">
        <is>
          <t>TRADE-OFF: check total liens against purchase price. Above 100% the seller is effectively financing the buyer's working capital. This is a legitimate structure and lenders approve it regularly — when it is disclosed and when the deal supports it, meaning real equity in the property or revenue that comfortably covers the total debt. What is NOT acceptable is hiding it: every lien must be disclosed to and approved by the senior lender in writing and shown on the settlement statement. Undisclosed subordinate financing or undisclosed cash back can constitute loan fraud. Disclosed and covered, it works. Hidden, it does not.</t>
        </is>
      </c>
    </row>
    <row r="114">
      <c r="A114" t="inlineStr">
        <is>
          <t>⚠️ DISCLOSURE REQUIREMENT — any seller carry, subordinate lien, or cash back to the buyer at close must be disclosed to and approved by the senior lender in writing, and must appear on the settlement statement. These structures are legitimate and routinely approved when the deal carries enough equity or revenue to support them — disclosure is the requirement, not the obstacle. This workbook models structures; it is not legal advice. Have your attorney review any structure before you sign.</t>
        </is>
      </c>
    </row>
  </sheetData>
  <mergeCells count="31">
    <mergeCell ref="A5:D5"/>
    <mergeCell ref="A98:N98"/>
    <mergeCell ref="A107:N107"/>
    <mergeCell ref="A103:N103"/>
    <mergeCell ref="A10:D10"/>
    <mergeCell ref="A110:N110"/>
    <mergeCell ref="F76:J76"/>
    <mergeCell ref="A108:N108"/>
    <mergeCell ref="A51:D51"/>
    <mergeCell ref="A99:N99"/>
    <mergeCell ref="A60:D60"/>
    <mergeCell ref="A45:D45"/>
    <mergeCell ref="A1:D1"/>
    <mergeCell ref="A70:D70"/>
    <mergeCell ref="A105:N105"/>
    <mergeCell ref="A101:N101"/>
    <mergeCell ref="A79:P79"/>
    <mergeCell ref="A104:N104"/>
    <mergeCell ref="A95:N95"/>
    <mergeCell ref="A78:P78"/>
    <mergeCell ref="A16:D16"/>
    <mergeCell ref="A97:N97"/>
    <mergeCell ref="A106:N106"/>
    <mergeCell ref="A109:N109"/>
    <mergeCell ref="A100:N100"/>
    <mergeCell ref="A96:N96"/>
    <mergeCell ref="A112:N112"/>
    <mergeCell ref="A33:D33"/>
    <mergeCell ref="A2:D2"/>
    <mergeCell ref="A111:N111"/>
    <mergeCell ref="A102:N102"/>
  </mergeCells>
  <conditionalFormatting sqref="B49:D49">
    <cfRule type="cellIs" priority="2" operator="greaterThan" dxfId="2">
      <formula>0</formula>
    </cfRule>
    <cfRule type="cellIs" priority="3" operator="lessThanOrEqual" dxfId="0">
      <formula>0</formula>
    </cfRule>
  </conditionalFormatting>
  <conditionalFormatting sqref="B52:D54">
    <cfRule type="cellIs" priority="4" operator="greaterThanOrEqual" dxfId="2">
      <formula>1.25</formula>
    </cfRule>
    <cfRule type="cellIs" priority="5" operator="between" dxfId="3">
      <formula>1.1</formula>
      <formula>1.249</formula>
    </cfRule>
    <cfRule type="cellIs" priority="6" operator="lessThan" dxfId="0">
      <formula>1.1</formula>
    </cfRule>
  </conditionalFormatting>
  <conditionalFormatting sqref="B55:D58">
    <cfRule type="cellIs" priority="7" operator="greaterThan" dxfId="3">
      <formula>0</formula>
    </cfRule>
    <cfRule type="cellIs" priority="8" operator="lessThanOrEqual" dxfId="0">
      <formula>0</formula>
    </cfRule>
  </conditionalFormatting>
  <conditionalFormatting sqref="B67:D67">
    <cfRule type="cellIs" priority="9" operator="lessThanOrEqual" dxfId="2">
      <formula>0</formula>
    </cfRule>
    <cfRule type="cellIs" priority="10" operator="between" dxfId="1">
      <formula>0.01</formula>
      <formula>25000</formula>
    </cfRule>
    <cfRule type="cellIs" priority="11" operator="greaterThan" dxfId="0">
      <formula>25000</formula>
    </cfRule>
  </conditionalFormatting>
  <conditionalFormatting sqref="B68:D68">
    <cfRule type="cellIs" priority="12" operator="greaterThan" dxfId="3">
      <formula>0</formula>
    </cfRule>
  </conditionalFormatting>
  <conditionalFormatting sqref="B71:D75">
    <cfRule type="cellIs" priority="13" operator="equal" dxfId="2">
      <formula>"PASS"</formula>
    </cfRule>
    <cfRule type="cellIs" priority="14" operator="equal" dxfId="0">
      <formula>"FAIL"</formula>
    </cfRule>
  </conditionalFormatting>
  <conditionalFormatting sqref="B76:D76">
    <cfRule type="cellIs" priority="15" operator="equal" dxfId="12">
      <formula>"ALL GREEN"</formula>
    </cfRule>
    <cfRule type="cellIs" priority="16" operator="equal" dxfId="9">
      <formula>"CHECK"</formula>
    </cfRule>
  </conditionalFormatting>
  <conditionalFormatting sqref="B90:N90">
    <cfRule type="cellIs" priority="23" operator="equal" dxfId="1">
      <formula>"WAIT"</formula>
    </cfRule>
  </conditionalFormatting>
  <conditionalFormatting sqref="B87:P87">
    <cfRule type="cellIs" priority="17" operator="lessThanOrEqual" dxfId="2">
      <formula>0</formula>
    </cfRule>
    <cfRule type="cellIs" priority="18" operator="between" dxfId="1">
      <formula>0.01</formula>
      <formula>50000</formula>
    </cfRule>
    <cfRule type="cellIs" priority="19" operator="greaterThan" dxfId="0">
      <formula>50000</formula>
    </cfRule>
  </conditionalFormatting>
  <conditionalFormatting sqref="B88:P88">
    <cfRule type="cellIs" priority="20" operator="greaterThan" dxfId="3">
      <formula>0</formula>
    </cfRule>
  </conditionalFormatting>
  <conditionalFormatting sqref="B89:P89">
    <cfRule type="cellIs" priority="21" operator="greaterThan" dxfId="0">
      <formula>0</formula>
    </cfRule>
  </conditionalFormatting>
  <conditionalFormatting sqref="B90:P90">
    <cfRule type="cellIs" priority="22" operator="equal" dxfId="2">
      <formula>"YES"</formula>
    </cfRule>
    <cfRule type="cellIs" priority="24" operator="equal" dxfId="0">
      <formula>"NO"</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58"/>
  <sheetViews>
    <sheetView zoomScaleNormal="100" workbookViewId="0">
      <selection activeCell="A1" sqref="A1:H1"/>
    </sheetView>
  </sheetViews>
  <sheetFormatPr baseColWidth="8" defaultColWidth="8.7109375" defaultRowHeight="15"/>
  <cols>
    <col width="12" customWidth="1" min="1" max="1"/>
    <col width="8" customWidth="1" min="2" max="3"/>
    <col width="12" customWidth="1" min="4" max="6"/>
    <col width="14" customWidth="1" min="7" max="7"/>
    <col width="30" customWidth="1" min="8" max="8"/>
  </cols>
  <sheetData>
    <row r="1" ht="30" customHeight="1">
      <c r="A1" s="10" t="inlineStr">
        <is>
          <t>MARKET RENT ANALYSIS —  COMP STUDY</t>
        </is>
      </c>
    </row>
    <row r="3" ht="21.75" customHeight="1">
      <c r="A3" s="8" t="inlineStr">
        <is>
          <t>3/1 COMPS — 1,000-1,300 SF, within 1 mile of subject</t>
        </is>
      </c>
    </row>
    <row r="4" ht="15" customHeight="1">
      <c r="A4" s="12" t="inlineStr">
        <is>
          <t>Address</t>
        </is>
      </c>
      <c r="B4" s="12" t="inlineStr">
        <is>
          <t>Beds</t>
        </is>
      </c>
      <c r="C4" s="12" t="inlineStr">
        <is>
          <t>SF</t>
        </is>
      </c>
      <c r="D4" s="12" t="inlineStr">
        <is>
          <t>Rent</t>
        </is>
      </c>
      <c r="E4" s="12" t="inlineStr">
        <is>
          <t>$/SF</t>
        </is>
      </c>
      <c r="F4" s="12" t="inlineStr">
        <is>
          <t>Distance</t>
        </is>
      </c>
      <c r="G4" s="12" t="inlineStr">
        <is>
          <t>Days Listed</t>
        </is>
      </c>
      <c r="H4" s="12" t="inlineStr">
        <is>
          <t>Notes</t>
        </is>
      </c>
    </row>
    <row r="5" ht="27.75" customHeight="1">
      <c r="A5" s="51" t="n"/>
      <c r="B5" s="52" t="n"/>
      <c r="C5" s="53" t="n"/>
      <c r="D5" s="100" t="n"/>
      <c r="E5" s="55">
        <f>IFERROR(D5/C5,"—")</f>
        <v/>
      </c>
      <c r="F5" s="52" t="n"/>
      <c r="G5" s="52" t="n"/>
      <c r="H5" s="51" t="n"/>
    </row>
    <row r="6" ht="15" customHeight="1">
      <c r="A6" s="51" t="n"/>
      <c r="B6" s="52" t="n"/>
      <c r="C6" s="53" t="n"/>
      <c r="D6" s="100" t="n"/>
      <c r="E6" s="55">
        <f>IFERROR(D6/C6,"—")</f>
        <v/>
      </c>
      <c r="F6" s="52" t="n"/>
      <c r="G6" s="52" t="n"/>
      <c r="H6" s="51" t="n"/>
    </row>
    <row r="7" ht="15" customHeight="1">
      <c r="A7" s="51" t="n"/>
      <c r="B7" s="52" t="n"/>
      <c r="C7" s="53" t="n"/>
      <c r="D7" s="100" t="n"/>
      <c r="E7" s="55">
        <f>IFERROR(D7/C7,"—")</f>
        <v/>
      </c>
      <c r="F7" s="52" t="n"/>
      <c r="G7" s="52" t="n"/>
      <c r="H7" s="51" t="n"/>
    </row>
    <row r="8" ht="27.75" customHeight="1">
      <c r="A8" s="51" t="n"/>
      <c r="B8" s="52" t="n"/>
      <c r="C8" s="53" t="n"/>
      <c r="D8" s="100" t="n"/>
      <c r="E8" s="55">
        <f>IFERROR(D8/C8,"—")</f>
        <v/>
      </c>
      <c r="F8" s="52" t="n"/>
      <c r="G8" s="52" t="n"/>
      <c r="H8" s="51" t="n"/>
    </row>
    <row r="9" ht="27.75" customHeight="1">
      <c r="A9" s="51" t="n"/>
      <c r="B9" s="52" t="n"/>
      <c r="C9" s="53" t="n"/>
      <c r="D9" s="100" t="n"/>
      <c r="E9" s="55">
        <f>IFERROR(D9/C9,"—")</f>
        <v/>
      </c>
      <c r="F9" s="52" t="n"/>
      <c r="G9" s="52" t="n"/>
      <c r="H9" s="51" t="n"/>
    </row>
    <row r="10" ht="27.75" customHeight="1">
      <c r="A10" s="51" t="n"/>
      <c r="B10" s="52" t="n"/>
      <c r="C10" s="53" t="n"/>
      <c r="D10" s="100" t="n"/>
      <c r="E10" s="55">
        <f>IFERROR(D10/C10,"—")</f>
        <v/>
      </c>
      <c r="F10" s="52" t="n"/>
      <c r="G10" s="52" t="n"/>
      <c r="H10" s="51" t="n"/>
    </row>
    <row r="11" ht="15" customHeight="1">
      <c r="A11" s="51" t="n"/>
      <c r="B11" s="52" t="n"/>
      <c r="C11" s="53" t="n"/>
      <c r="D11" s="100" t="n"/>
      <c r="E11" s="55">
        <f>IFERROR(D11/C11,"—")</f>
        <v/>
      </c>
      <c r="F11" s="52" t="n"/>
      <c r="G11" s="52" t="n"/>
      <c r="H11" s="51" t="n"/>
    </row>
    <row r="12" ht="27.75" customHeight="1">
      <c r="A12" s="51" t="n"/>
      <c r="B12" s="52" t="n"/>
      <c r="C12" s="53" t="n"/>
      <c r="D12" s="100" t="n"/>
      <c r="E12" s="55">
        <f>IFERROR(D12/C12,"—")</f>
        <v/>
      </c>
      <c r="F12" s="52" t="n"/>
      <c r="G12" s="52" t="n"/>
      <c r="H12" s="51" t="n"/>
    </row>
    <row r="14" ht="26.25" customHeight="1">
      <c r="A14" s="25" t="inlineStr">
        <is>
          <t>Median 3/1 Rent</t>
        </is>
      </c>
      <c r="D14" s="96">
        <f>IFERROR(MEDIAN(D5:D12),"—")</f>
        <v/>
      </c>
    </row>
    <row r="15" ht="26.25" customHeight="1">
      <c r="A15" s="25" t="inlineStr">
        <is>
          <t>Mean 3/1 Rent</t>
        </is>
      </c>
      <c r="D15" s="96">
        <f>IFERROR(AVERAGE(D5:D12),"—")</f>
        <v/>
      </c>
    </row>
    <row r="16" ht="39" customHeight="1">
      <c r="A16" s="25" t="inlineStr">
        <is>
          <t>Conservative 3/1 Underwrite</t>
        </is>
      </c>
      <c r="D16" s="90" t="n"/>
      <c r="H16" t="inlineStr">
        <is>
          <t>Used in stabilized NOI calc</t>
        </is>
      </c>
    </row>
    <row r="19" ht="15" customHeight="1">
      <c r="A19" s="8" t="inlineStr">
        <is>
          <t>1/1 COMPS — within 1 mile</t>
        </is>
      </c>
    </row>
    <row r="20" ht="15" customHeight="1">
      <c r="A20" s="12" t="inlineStr">
        <is>
          <t>Address</t>
        </is>
      </c>
      <c r="B20" s="12" t="inlineStr">
        <is>
          <t>Beds</t>
        </is>
      </c>
      <c r="C20" s="12" t="inlineStr">
        <is>
          <t>SF</t>
        </is>
      </c>
      <c r="D20" s="12" t="inlineStr">
        <is>
          <t>Rent</t>
        </is>
      </c>
      <c r="E20" s="12" t="inlineStr">
        <is>
          <t>$/SF</t>
        </is>
      </c>
      <c r="F20" s="12" t="inlineStr">
        <is>
          <t>Distance</t>
        </is>
      </c>
      <c r="G20" s="12" t="inlineStr">
        <is>
          <t>Days Listed</t>
        </is>
      </c>
      <c r="H20" s="12" t="inlineStr">
        <is>
          <t>Notes</t>
        </is>
      </c>
    </row>
    <row r="21" ht="27.75" customHeight="1">
      <c r="A21" s="51" t="n"/>
      <c r="B21" s="52" t="n"/>
      <c r="C21" s="53" t="n"/>
      <c r="D21" s="100" t="n"/>
      <c r="E21" s="55">
        <f>IFERROR(D21/C21,"—")</f>
        <v/>
      </c>
      <c r="F21" s="52" t="n"/>
      <c r="G21" s="52" t="n"/>
      <c r="H21" s="51" t="n"/>
    </row>
    <row r="22" ht="41.25" customHeight="1">
      <c r="A22" s="51" t="n"/>
      <c r="B22" s="52" t="n"/>
      <c r="C22" s="53" t="n"/>
      <c r="D22" s="100" t="n"/>
      <c r="E22" s="55">
        <f>IFERROR(D22/C22,"—")</f>
        <v/>
      </c>
      <c r="F22" s="52" t="n"/>
      <c r="G22" s="52" t="n"/>
      <c r="H22" s="51" t="n"/>
    </row>
    <row r="23" ht="27.75" customHeight="1">
      <c r="A23" s="51" t="n"/>
      <c r="B23" s="52" t="n"/>
      <c r="C23" s="53" t="n"/>
      <c r="D23" s="100" t="n"/>
      <c r="E23" s="55">
        <f>IFERROR(D23/C23,"—")</f>
        <v/>
      </c>
      <c r="F23" s="52" t="n"/>
      <c r="G23" s="52" t="n"/>
      <c r="H23" s="51" t="n"/>
    </row>
    <row r="24" ht="27.75" customHeight="1">
      <c r="A24" s="51" t="n"/>
      <c r="B24" s="52" t="n"/>
      <c r="C24" s="53" t="n"/>
      <c r="D24" s="100" t="n"/>
      <c r="E24" s="55">
        <f>IFERROR(D24/C24,"—")</f>
        <v/>
      </c>
      <c r="F24" s="52" t="n"/>
      <c r="G24" s="52" t="n"/>
      <c r="H24" s="51" t="n"/>
    </row>
    <row r="26" ht="26.25" customHeight="1">
      <c r="A26" s="25" t="inlineStr">
        <is>
          <t>Median 1/1 Rent</t>
        </is>
      </c>
      <c r="D26" s="96">
        <f>IFERROR(MEDIAN(D21:D24),"—")</f>
        <v/>
      </c>
    </row>
    <row r="27" ht="39" customHeight="1">
      <c r="A27" s="25" t="inlineStr">
        <is>
          <t>Conservative 1/1 Underwrite</t>
        </is>
      </c>
      <c r="D27" s="90" t="n"/>
      <c r="H27" t="inlineStr">
        <is>
          <t>Discount for older condition / no AC</t>
        </is>
      </c>
    </row>
    <row r="30" ht="15" customHeight="1">
      <c r="A30" s="8" t="inlineStr">
        <is>
          <t>2/1 COMPS — within 1 mile</t>
        </is>
      </c>
    </row>
    <row r="31" ht="15" customHeight="1">
      <c r="A31" s="12" t="inlineStr">
        <is>
          <t>Address</t>
        </is>
      </c>
      <c r="B31" s="12" t="inlineStr">
        <is>
          <t>Beds</t>
        </is>
      </c>
      <c r="C31" s="12" t="inlineStr">
        <is>
          <t>SF</t>
        </is>
      </c>
      <c r="D31" s="12" t="inlineStr">
        <is>
          <t>Rent</t>
        </is>
      </c>
      <c r="E31" s="12" t="inlineStr">
        <is>
          <t>$/SF</t>
        </is>
      </c>
      <c r="F31" s="12" t="inlineStr">
        <is>
          <t>Distance</t>
        </is>
      </c>
      <c r="G31" s="12" t="inlineStr">
        <is>
          <t>Days Listed</t>
        </is>
      </c>
      <c r="H31" s="12" t="inlineStr">
        <is>
          <t>Notes</t>
        </is>
      </c>
    </row>
    <row r="32" ht="27.75" customHeight="1">
      <c r="A32" s="51" t="n"/>
      <c r="B32" s="52" t="n"/>
      <c r="C32" s="53" t="n"/>
      <c r="D32" s="100" t="n"/>
      <c r="E32" s="55">
        <f>IFERROR(D32/C32,"—")</f>
        <v/>
      </c>
      <c r="F32" s="52" t="n"/>
      <c r="G32" s="52" t="n"/>
      <c r="H32" s="51" t="n"/>
    </row>
    <row r="33" ht="27.75" customHeight="1">
      <c r="A33" s="51" t="n"/>
      <c r="B33" s="52" t="n"/>
      <c r="C33" s="53" t="n"/>
      <c r="D33" s="100" t="n"/>
      <c r="E33" s="55">
        <f>IFERROR(D33/C33,"—")</f>
        <v/>
      </c>
      <c r="F33" s="52" t="n"/>
      <c r="G33" s="52" t="n"/>
      <c r="H33" s="51" t="n"/>
    </row>
    <row r="34" ht="27.75" customHeight="1">
      <c r="A34" s="51" t="n"/>
      <c r="B34" s="52" t="n"/>
      <c r="C34" s="53" t="n"/>
      <c r="D34" s="100" t="n"/>
      <c r="E34" s="55">
        <f>IFERROR(D34/C34,"—")</f>
        <v/>
      </c>
      <c r="F34" s="52" t="n"/>
      <c r="G34" s="52" t="n"/>
      <c r="H34" s="51" t="n"/>
    </row>
    <row r="35" ht="41.25" customHeight="1">
      <c r="A35" s="51" t="n"/>
      <c r="B35" s="52" t="n"/>
      <c r="C35" s="53" t="n"/>
      <c r="D35" s="100" t="n"/>
      <c r="E35" s="55">
        <f>IFERROR(D35/C35,"—")</f>
        <v/>
      </c>
      <c r="F35" s="52" t="n"/>
      <c r="G35" s="52" t="n"/>
      <c r="H35" s="51" t="n"/>
    </row>
    <row r="36" ht="27.75" customHeight="1">
      <c r="A36" s="51" t="n"/>
      <c r="B36" s="52" t="n"/>
      <c r="C36" s="53" t="n"/>
      <c r="D36" s="100" t="n"/>
      <c r="E36" s="55">
        <f>IFERROR(D36/C36,"—")</f>
        <v/>
      </c>
      <c r="F36" s="52" t="n"/>
      <c r="G36" s="52" t="n"/>
      <c r="H36" s="51" t="n"/>
    </row>
    <row r="37" ht="27.75" customHeight="1">
      <c r="A37" s="51" t="n"/>
      <c r="B37" s="52" t="n"/>
      <c r="C37" s="53" t="n"/>
      <c r="D37" s="100" t="n"/>
      <c r="E37" s="55">
        <f>IFERROR(D37/C37,"—")</f>
        <v/>
      </c>
      <c r="F37" s="52" t="n"/>
      <c r="G37" s="52" t="n"/>
      <c r="H37" s="51" t="n"/>
    </row>
    <row r="39" ht="26.25" customHeight="1">
      <c r="A39" s="25" t="inlineStr">
        <is>
          <t>Median 2/1 Rent</t>
        </is>
      </c>
      <c r="D39" s="96">
        <f>IFERROR(MEDIAN(D32:D37),"—")</f>
        <v/>
      </c>
    </row>
    <row r="40" ht="39" customHeight="1">
      <c r="A40" s="25" t="inlineStr">
        <is>
          <t>Conservative 2/1 Underwrite</t>
        </is>
      </c>
      <c r="D40" s="90" t="n"/>
      <c r="H40" t="inlineStr">
        <is>
          <t>Anchored to a nearby comp (next door)</t>
        </is>
      </c>
    </row>
    <row r="43" ht="15" customHeight="1">
      <c r="A43" s="8" t="inlineStr">
        <is>
          <t>LOSS-TO-LEASE — Subject vs. Market</t>
        </is>
      </c>
    </row>
    <row r="44" ht="26.25" customHeight="1">
      <c r="A44" s="12" t="inlineStr">
        <is>
          <t>Building</t>
        </is>
      </c>
      <c r="B44" s="12" t="inlineStr">
        <is>
          <t>Unit</t>
        </is>
      </c>
      <c r="C44" s="12" t="inlineStr">
        <is>
          <t>Type</t>
        </is>
      </c>
      <c r="D44" s="12" t="inlineStr">
        <is>
          <t>Current $</t>
        </is>
      </c>
      <c r="E44" s="12" t="inlineStr">
        <is>
          <t>Market $</t>
        </is>
      </c>
      <c r="F44" s="12" t="inlineStr">
        <is>
          <t>Upside $/mo</t>
        </is>
      </c>
      <c r="G44" s="12" t="inlineStr">
        <is>
          <t>Annual Upside</t>
        </is>
      </c>
      <c r="H44" s="12" t="inlineStr">
        <is>
          <t>Lease Expires</t>
        </is>
      </c>
    </row>
    <row r="45" ht="15" customHeight="1">
      <c r="A45" s="52" t="n"/>
      <c r="B45" s="52" t="n"/>
      <c r="C45" s="52" t="n"/>
      <c r="D45" s="100" t="n"/>
      <c r="E45" s="100" t="n"/>
      <c r="F45" s="100">
        <f>E45-D45</f>
        <v/>
      </c>
      <c r="G45" s="100">
        <f>F45*12</f>
        <v/>
      </c>
      <c r="H45" s="52" t="n"/>
    </row>
    <row r="46" ht="15" customHeight="1">
      <c r="A46" s="52" t="n"/>
      <c r="B46" s="52" t="n"/>
      <c r="C46" s="52" t="n"/>
      <c r="D46" s="100" t="n"/>
      <c r="E46" s="100" t="n"/>
      <c r="F46" s="100">
        <f>E46-D46</f>
        <v/>
      </c>
      <c r="G46" s="100">
        <f>F46*12</f>
        <v/>
      </c>
      <c r="H46" s="52" t="n"/>
    </row>
    <row r="47" ht="15" customHeight="1">
      <c r="A47" s="52" t="n"/>
      <c r="B47" s="52" t="n"/>
      <c r="C47" s="52" t="n"/>
      <c r="D47" s="100" t="n"/>
      <c r="E47" s="100" t="n"/>
      <c r="F47" s="100">
        <f>E47-D47</f>
        <v/>
      </c>
      <c r="G47" s="100">
        <f>F47*12</f>
        <v/>
      </c>
      <c r="H47" s="52" t="n"/>
    </row>
    <row r="48" ht="15" customHeight="1">
      <c r="A48" s="52" t="n"/>
      <c r="B48" s="52" t="n"/>
      <c r="C48" s="52" t="n"/>
      <c r="D48" s="100" t="n"/>
      <c r="E48" s="100" t="n"/>
      <c r="F48" s="100">
        <f>E48-D48</f>
        <v/>
      </c>
      <c r="G48" s="100">
        <f>F48*12</f>
        <v/>
      </c>
      <c r="H48" s="52" t="n"/>
    </row>
    <row r="49" ht="15" customHeight="1">
      <c r="A49" s="52" t="n"/>
      <c r="B49" s="52" t="n"/>
      <c r="C49" s="52" t="n"/>
      <c r="D49" s="100" t="n"/>
      <c r="E49" s="100" t="n"/>
      <c r="F49" s="100">
        <f>E49-D49</f>
        <v/>
      </c>
      <c r="G49" s="100">
        <f>F49*12</f>
        <v/>
      </c>
      <c r="H49" s="52" t="n"/>
    </row>
    <row r="50" ht="15" customHeight="1">
      <c r="A50" s="52" t="n"/>
      <c r="B50" s="52" t="n"/>
      <c r="C50" s="52" t="n"/>
      <c r="D50" s="100" t="n"/>
      <c r="E50" s="100" t="n"/>
      <c r="F50" s="100">
        <f>E50-D50</f>
        <v/>
      </c>
      <c r="G50" s="100">
        <f>F50*12</f>
        <v/>
      </c>
      <c r="H50" s="52" t="n"/>
    </row>
    <row r="51" ht="15" customHeight="1">
      <c r="A51" s="52" t="n"/>
      <c r="B51" s="52" t="n"/>
      <c r="C51" s="52" t="n"/>
      <c r="D51" s="100" t="n"/>
      <c r="E51" s="100" t="n"/>
      <c r="F51" s="100">
        <f>E51-D51</f>
        <v/>
      </c>
      <c r="G51" s="100">
        <f>F51*12</f>
        <v/>
      </c>
      <c r="H51" s="52" t="n"/>
    </row>
    <row r="52" ht="15" customHeight="1">
      <c r="A52" s="52" t="n"/>
      <c r="B52" s="52" t="n"/>
      <c r="C52" s="52" t="n"/>
      <c r="D52" s="100" t="n"/>
      <c r="E52" s="100" t="n"/>
      <c r="F52" s="100">
        <f>E52-D52</f>
        <v/>
      </c>
      <c r="G52" s="100">
        <f>F52*12</f>
        <v/>
      </c>
      <c r="H52" s="52" t="n"/>
    </row>
    <row r="53" ht="15" customHeight="1">
      <c r="A53" s="52" t="n"/>
      <c r="B53" s="52" t="n"/>
      <c r="C53" s="52" t="n"/>
      <c r="D53" s="100" t="n"/>
      <c r="E53" s="100" t="n"/>
      <c r="F53" s="100">
        <f>E53-D53</f>
        <v/>
      </c>
      <c r="G53" s="100">
        <f>F53*12</f>
        <v/>
      </c>
      <c r="H53" s="52" t="n"/>
    </row>
    <row r="54" ht="15" customHeight="1">
      <c r="A54" s="52" t="n"/>
      <c r="B54" s="52" t="n"/>
      <c r="C54" s="52" t="n"/>
      <c r="D54" s="100" t="n"/>
      <c r="E54" s="100" t="n"/>
      <c r="F54" s="100">
        <f>E54-D54</f>
        <v/>
      </c>
      <c r="G54" s="100">
        <f>F54*12</f>
        <v/>
      </c>
      <c r="H54" s="52" t="n"/>
    </row>
    <row r="56" ht="15" customHeight="1">
      <c r="A56" s="41" t="n"/>
      <c r="B56" s="56" t="n"/>
      <c r="C56" s="56" t="inlineStr">
        <is>
          <t>Property 1</t>
        </is>
      </c>
      <c r="D56" s="96">
        <f>SUMIF($A$45:$A$54,$C$56,D45:D54)</f>
        <v/>
      </c>
      <c r="E56" s="96">
        <f>SUMIF($A$45:$A$54,$C$56,E45:E54)</f>
        <v/>
      </c>
      <c r="F56" s="96">
        <f>E56-D56</f>
        <v/>
      </c>
      <c r="G56" s="96">
        <f>F56*12</f>
        <v/>
      </c>
      <c r="H56" s="56" t="n"/>
    </row>
    <row r="57" ht="15" customHeight="1">
      <c r="A57" s="41" t="n"/>
      <c r="B57" s="56" t="n"/>
      <c r="C57" s="56" t="inlineStr">
        <is>
          <t>Property 2</t>
        </is>
      </c>
      <c r="D57" s="96">
        <f>SUMIF($A$45:$A$54,$C$57,D45:D54)</f>
        <v/>
      </c>
      <c r="E57" s="96">
        <f>SUMIF($A$45:$A$54,$C$57,E45:E54)</f>
        <v/>
      </c>
      <c r="F57" s="96">
        <f>E57-D57</f>
        <v/>
      </c>
      <c r="G57" s="96">
        <f>F57*12</f>
        <v/>
      </c>
      <c r="H57" s="56" t="n"/>
    </row>
    <row r="58" ht="26.25" customHeight="1">
      <c r="A58" s="11" t="n"/>
      <c r="B58" s="57" t="n"/>
      <c r="C58" s="57" t="n"/>
      <c r="D58" s="101">
        <f>SUM(D45:D54)</f>
        <v/>
      </c>
      <c r="E58" s="101">
        <f>SUM(E45:E54)</f>
        <v/>
      </c>
      <c r="F58" s="101">
        <f>E58-D58</f>
        <v/>
      </c>
      <c r="G58" s="101">
        <f>F58*12</f>
        <v/>
      </c>
      <c r="H58" s="57" t="n"/>
    </row>
  </sheetData>
  <mergeCells count="5">
    <mergeCell ref="A3:H3"/>
    <mergeCell ref="A30:H30"/>
    <mergeCell ref="A43:H43"/>
    <mergeCell ref="A19:H19"/>
    <mergeCell ref="A1:H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70"/>
  <sheetViews>
    <sheetView topLeftCell="A22" zoomScaleNormal="100" workbookViewId="0">
      <selection activeCell="A1" sqref="A1:H1"/>
    </sheetView>
  </sheetViews>
  <sheetFormatPr baseColWidth="8" defaultColWidth="8.7109375" defaultRowHeight="15"/>
  <cols>
    <col width="38" customWidth="1" min="1" max="1"/>
    <col width="18" customWidth="1" min="2" max="2"/>
    <col width="4" customWidth="1" min="3" max="3"/>
    <col width="38" customWidth="1" min="4" max="4"/>
    <col width="18" customWidth="1" min="5" max="5"/>
    <col width="4" customWidth="1" min="6" max="6"/>
    <col width="38" customWidth="1" min="7" max="7"/>
    <col width="18" customWidth="1" min="8" max="8"/>
  </cols>
  <sheetData>
    <row r="1" ht="30" customHeight="1">
      <c r="A1" s="10" t="inlineStr">
        <is>
          <t>ZOXIRO UNDERWRITING — DEAL ASSUMPTIONS</t>
        </is>
      </c>
    </row>
    <row r="2" ht="19.5" customHeight="1">
      <c r="A2" s="11" t="inlineStr">
        <is>
          <t>Blank template — enter your deal inputs on the Assumptions and Scenarios tabs.</t>
        </is>
      </c>
    </row>
    <row r="4" ht="21.75" customHeight="1">
      <c r="A4" s="8" t="inlineStr">
        <is>
          <t>PURCHASE TERMS</t>
        </is>
      </c>
    </row>
    <row r="5" ht="15" customHeight="1">
      <c r="B5" s="12" t="inlineStr">
        <is>
          <t>Property 1</t>
        </is>
      </c>
      <c r="E5" s="12" t="inlineStr">
        <is>
          <t>Property 2</t>
        </is>
      </c>
      <c r="H5" s="12" t="inlineStr">
        <is>
          <t>Combined</t>
        </is>
      </c>
    </row>
    <row r="6" ht="15" customHeight="1">
      <c r="A6" s="13" t="inlineStr">
        <is>
          <t>Purchase Price</t>
        </is>
      </c>
      <c r="B6" s="90" t="n"/>
      <c r="D6" s="13" t="inlineStr">
        <is>
          <t>Purchase Price</t>
        </is>
      </c>
      <c r="E6" s="90" t="n"/>
      <c r="G6" s="13" t="inlineStr">
        <is>
          <t>Combined Purchase Price</t>
        </is>
      </c>
      <c r="H6" s="86">
        <f>B6+E6</f>
        <v/>
      </c>
    </row>
    <row r="7" ht="15" customHeight="1">
      <c r="A7" s="13" t="inlineStr">
        <is>
          <t>Units</t>
        </is>
      </c>
      <c r="B7" s="102" t="n"/>
      <c r="D7" s="13" t="inlineStr">
        <is>
          <t>Units</t>
        </is>
      </c>
      <c r="E7" s="102" t="n"/>
      <c r="G7" s="13" t="inlineStr">
        <is>
          <t>Total Units</t>
        </is>
      </c>
      <c r="H7" s="103">
        <f>B7+E7</f>
        <v/>
      </c>
    </row>
    <row r="8" ht="15" customHeight="1">
      <c r="A8" s="13" t="inlineStr">
        <is>
          <t>Price Per Unit</t>
        </is>
      </c>
      <c r="B8" s="86">
        <f>IFERROR(B6/B7,"—")</f>
        <v/>
      </c>
      <c r="D8" s="13" t="inlineStr">
        <is>
          <t>Price Per Unit</t>
        </is>
      </c>
      <c r="E8" s="86">
        <f>IFERROR(E6/E7,"—")</f>
        <v/>
      </c>
      <c r="G8" s="13" t="inlineStr">
        <is>
          <t>Combined PPU</t>
        </is>
      </c>
      <c r="H8" s="86">
        <f>IFERROR(H6/H7,"—")</f>
        <v/>
      </c>
    </row>
    <row r="10" ht="21.75" customHeight="1">
      <c r="A10" s="8" t="inlineStr">
        <is>
          <t>FINANCING STRUCTURE</t>
        </is>
      </c>
    </row>
    <row r="11" ht="15" customHeight="1">
      <c r="B11" s="12" t="inlineStr">
        <is>
          <t>Property 1</t>
        </is>
      </c>
      <c r="E11" s="12" t="inlineStr">
        <is>
          <t>Property 2</t>
        </is>
      </c>
    </row>
    <row r="12" ht="15" customHeight="1">
      <c r="A12" s="13" t="inlineStr">
        <is>
          <t>Senior DSCR Loan LTV %</t>
        </is>
      </c>
      <c r="B12" s="94" t="n">
        <v>0.65</v>
      </c>
      <c r="D12" s="13" t="inlineStr">
        <is>
          <t>Senior DSCR Loan LTV %</t>
        </is>
      </c>
      <c r="E12" s="94" t="n">
        <v>0.65</v>
      </c>
    </row>
    <row r="13" ht="15" customHeight="1">
      <c r="A13" s="13" t="inlineStr">
        <is>
          <t>Senior Loan Amount</t>
        </is>
      </c>
      <c r="B13" s="86">
        <f>B6*B12</f>
        <v/>
      </c>
      <c r="D13" s="13" t="inlineStr">
        <is>
          <t>Senior Loan Amount</t>
        </is>
      </c>
      <c r="E13" s="86">
        <f>E6*E12</f>
        <v/>
      </c>
    </row>
    <row r="14" ht="15" customHeight="1">
      <c r="A14" s="15" t="inlineStr">
        <is>
          <t>Senior Loan Rate</t>
        </is>
      </c>
      <c r="B14" s="94" t="n">
        <v>0.075</v>
      </c>
      <c r="D14" s="15" t="inlineStr">
        <is>
          <t>Senior Loan Rate</t>
        </is>
      </c>
      <c r="E14" s="94" t="n">
        <v>0.075</v>
      </c>
    </row>
    <row r="15" ht="15" customHeight="1">
      <c r="A15" s="15" t="inlineStr">
        <is>
          <t>Senior Loan Term (yrs, amort)</t>
        </is>
      </c>
      <c r="B15" s="102" t="n">
        <v>30</v>
      </c>
      <c r="D15" s="15" t="inlineStr">
        <is>
          <t>Senior Loan Term (yrs, amort)</t>
        </is>
      </c>
      <c r="E15" s="102" t="n">
        <v>30</v>
      </c>
    </row>
    <row r="16" ht="15" customHeight="1">
      <c r="A16" s="15" t="inlineStr">
        <is>
          <t>Senior Loan IO Period (yrs)</t>
        </is>
      </c>
      <c r="B16" s="102" t="n">
        <v>0</v>
      </c>
      <c r="D16" s="15" t="inlineStr">
        <is>
          <t>Senior Loan IO Period (yrs)</t>
        </is>
      </c>
      <c r="E16" s="102" t="n">
        <v>0</v>
      </c>
    </row>
    <row r="17" ht="15" customHeight="1">
      <c r="A17" s="13" t="inlineStr">
        <is>
          <t>Senior Annual Debt Service</t>
        </is>
      </c>
      <c r="B17" s="86">
        <f>IFERROR(-PMT(B14/12,B15*12,B13)*12,"—")</f>
        <v/>
      </c>
      <c r="D17" s="13" t="inlineStr">
        <is>
          <t>Senior Annual Debt Service</t>
        </is>
      </c>
      <c r="E17" s="86">
        <f>IFERROR(-PMT(E14/12,E15*12,E13)*12,"—")</f>
        <v/>
      </c>
    </row>
    <row r="19" ht="15" customHeight="1">
      <c r="A19" s="13" t="inlineStr">
        <is>
          <t>Seller Carry %</t>
        </is>
      </c>
      <c r="B19" s="94" t="n">
        <v>0.5</v>
      </c>
      <c r="D19" s="13" t="inlineStr">
        <is>
          <t>Seller Carry %</t>
        </is>
      </c>
      <c r="E19" s="94" t="n">
        <v>0.5</v>
      </c>
    </row>
    <row r="20" ht="15" customHeight="1">
      <c r="A20" s="13" t="inlineStr">
        <is>
          <t>Seller Carry Amount</t>
        </is>
      </c>
      <c r="B20" s="86">
        <f>B6*B19</f>
        <v/>
      </c>
      <c r="D20" s="13" t="inlineStr">
        <is>
          <t>Seller Carry Amount</t>
        </is>
      </c>
      <c r="E20" s="86">
        <f>E6*E19</f>
        <v/>
      </c>
    </row>
    <row r="21" ht="15" customHeight="1">
      <c r="A21" s="15" t="inlineStr">
        <is>
          <t>Seller Carry Rate</t>
        </is>
      </c>
      <c r="B21" s="94" t="n">
        <v>0</v>
      </c>
      <c r="D21" s="15" t="inlineStr">
        <is>
          <t>Seller Carry Rate</t>
        </is>
      </c>
      <c r="E21" s="94" t="n">
        <v>0</v>
      </c>
    </row>
    <row r="22" ht="15" customHeight="1">
      <c r="A22" s="15" t="inlineStr">
        <is>
          <t>Seller Carry Term (yrs, balloon)</t>
        </is>
      </c>
      <c r="B22" s="102" t="n">
        <v>10</v>
      </c>
      <c r="D22" s="15" t="inlineStr">
        <is>
          <t>Seller Carry Term (yrs, balloon)</t>
        </is>
      </c>
      <c r="E22" s="102" t="n">
        <v>10</v>
      </c>
    </row>
    <row r="23" ht="26.25" customHeight="1">
      <c r="A23" s="15" t="inlineStr">
        <is>
          <t>Seller Carry Pay Type (1=IO, 2=Amort, 3=Accrual)</t>
        </is>
      </c>
      <c r="B23" s="95" t="n">
        <v>1</v>
      </c>
      <c r="D23" s="15" t="inlineStr">
        <is>
          <t>Seller Carry Pay Type (1=IO, 2=Amort, 3=Accrual)</t>
        </is>
      </c>
      <c r="E23" s="95" t="n">
        <v>1</v>
      </c>
    </row>
    <row r="24" ht="15" customHeight="1">
      <c r="A24" s="13" t="inlineStr">
        <is>
          <t>Seller Carry Annual Debt Service</t>
        </is>
      </c>
      <c r="B24" s="86">
        <f>IFERROR(IF(B23=1,B20*B21,IF(B23=2,-PMT(B21/12,30*12,B20)*12,0)),"—")</f>
        <v/>
      </c>
      <c r="E24" s="86">
        <f>IFERROR(IF(E23=1,E20*E21,IF(E23=2,-PMT(E21/12,30*12,E20)*12,0)),"—")</f>
        <v/>
      </c>
    </row>
    <row r="26" ht="15" customHeight="1">
      <c r="A26" s="13" t="inlineStr">
        <is>
          <t>TOTAL FINANCING (Sr + Carry)</t>
        </is>
      </c>
      <c r="B26" s="86">
        <f>B13+B20</f>
        <v/>
      </c>
      <c r="D26" s="13" t="inlineStr">
        <is>
          <t>TOTAL FINANCING (Sr + Carry)</t>
        </is>
      </c>
      <c r="E26" s="86">
        <f>E13+E20</f>
        <v/>
      </c>
    </row>
    <row r="27" ht="15" customHeight="1">
      <c r="A27" s="13" t="inlineStr">
        <is>
          <t>Cash Required to Close (before any transactional funding)</t>
        </is>
      </c>
      <c r="B27" s="86">
        <f>B6-B26</f>
        <v/>
      </c>
      <c r="D27" s="13" t="inlineStr">
        <is>
          <t>Cash to Close (before TF)</t>
        </is>
      </c>
      <c r="E27" s="86">
        <f>E6-E26</f>
        <v/>
      </c>
    </row>
    <row r="28" ht="15" customHeight="1">
      <c r="A28" s="13" t="inlineStr">
        <is>
          <t>Total Annual Debt Service</t>
        </is>
      </c>
      <c r="B28" s="86">
        <f>B17+B24</f>
        <v/>
      </c>
      <c r="D28" s="13" t="inlineStr">
        <is>
          <t>Total Annual Debt Service</t>
        </is>
      </c>
      <c r="E28" s="86">
        <f>E17+E24</f>
        <v/>
      </c>
    </row>
    <row r="30" ht="21.75" customHeight="1">
      <c r="A30" s="8" t="inlineStr">
        <is>
          <t>TRANSACTIONAL FUNDING (third party — enter your own funder's terms)</t>
        </is>
      </c>
    </row>
    <row r="31" ht="15" customHeight="1">
      <c r="A31" s="15" t="inlineStr">
        <is>
          <t>Transactional Funding Needed</t>
        </is>
      </c>
      <c r="B31" s="87">
        <f>IFERROR(MAX(0,B27),"—")</f>
        <v/>
      </c>
      <c r="D31" s="15" t="inlineStr">
        <is>
          <t>TF Required Amount (= Cash to Close)</t>
        </is>
      </c>
      <c r="E31" s="87">
        <f>IFERROR(MAX(0,E27),"—")</f>
        <v/>
      </c>
    </row>
    <row r="32" ht="15" customHeight="1">
      <c r="A32" s="15" t="inlineStr">
        <is>
          <t>Your Funder's Fee %</t>
        </is>
      </c>
      <c r="B32" s="104" t="n">
        <v>0</v>
      </c>
      <c r="D32" s="15" t="inlineStr">
        <is>
          <t>TF Fee % ()</t>
        </is>
      </c>
      <c r="E32" s="104" t="n">
        <v>0</v>
      </c>
    </row>
    <row r="33" ht="15" customHeight="1">
      <c r="A33" s="13" t="inlineStr">
        <is>
          <t>Transactional Funding Cost $</t>
        </is>
      </c>
      <c r="B33" s="86">
        <f>B31*B32</f>
        <v/>
      </c>
      <c r="D33" s="13" t="inlineStr">
        <is>
          <t>TF Fee $ (one-time, closing cost)</t>
        </is>
      </c>
      <c r="E33" s="86">
        <f>E31*E32</f>
        <v/>
      </c>
    </row>
    <row r="35" ht="21.75" customHeight="1">
      <c r="A35" s="8" t="inlineStr">
        <is>
          <t>INCOME ASSUMPTIONS</t>
        </is>
      </c>
    </row>
    <row r="36" ht="15" customHeight="1">
      <c r="A36" s="13" t="inlineStr">
        <is>
          <t>Current Rent Roll (annualized GSI)</t>
        </is>
      </c>
      <c r="B36" s="90" t="n"/>
      <c r="D36" s="13" t="inlineStr">
        <is>
          <t>Current Rent Roll (annualized GSI)</t>
        </is>
      </c>
      <c r="E36" s="90" t="n"/>
      <c r="G36" s="13" t="inlineStr">
        <is>
          <t>Combined GSI</t>
        </is>
      </c>
      <c r="H36" s="86">
        <f>B36+E36</f>
        <v/>
      </c>
    </row>
    <row r="37" ht="15" customHeight="1">
      <c r="A37" s="15" t="inlineStr">
        <is>
          <t>Other Income (T12 actual)</t>
        </is>
      </c>
      <c r="B37" s="105" t="n"/>
      <c r="D37" s="15" t="inlineStr">
        <is>
          <t>Other Income (T12 actual)</t>
        </is>
      </c>
      <c r="E37" s="105" t="n"/>
    </row>
    <row r="38" ht="15" customHeight="1">
      <c r="A38" s="15" t="inlineStr">
        <is>
          <t>Vacancy Allowance %</t>
        </is>
      </c>
      <c r="B38" s="94" t="n">
        <v>0.05</v>
      </c>
      <c r="D38" s="15" t="inlineStr">
        <is>
          <t>Vacancy Allowance %</t>
        </is>
      </c>
      <c r="E38" s="94" t="n">
        <v>0.05</v>
      </c>
    </row>
    <row r="39" ht="15" customHeight="1">
      <c r="A39" s="13" t="inlineStr">
        <is>
          <t>Vacancy $</t>
        </is>
      </c>
      <c r="B39" s="87">
        <f>B36*B38</f>
        <v/>
      </c>
      <c r="D39" s="13" t="inlineStr">
        <is>
          <t>Vacancy $</t>
        </is>
      </c>
      <c r="E39" s="87">
        <f>E36*E38</f>
        <v/>
      </c>
    </row>
    <row r="40" ht="15" customHeight="1">
      <c r="A40" s="13" t="inlineStr">
        <is>
          <t>EGI (Effective Gross Income)</t>
        </is>
      </c>
      <c r="B40" s="86">
        <f>B36+B37-B39</f>
        <v/>
      </c>
      <c r="D40" s="13" t="inlineStr">
        <is>
          <t>EGI (Effective Gross Income)</t>
        </is>
      </c>
      <c r="E40" s="86">
        <f>E36+E37-E39</f>
        <v/>
      </c>
      <c r="G40" s="13" t="inlineStr">
        <is>
          <t>Combined EGI</t>
        </is>
      </c>
      <c r="H40" s="86">
        <f>B40+E40</f>
        <v/>
      </c>
    </row>
    <row r="41" ht="15" customHeight="1">
      <c r="A41" s="15" t="inlineStr">
        <is>
          <t>Annual Rent Growth %</t>
        </is>
      </c>
      <c r="B41" s="94" t="n">
        <v>0.03</v>
      </c>
      <c r="D41" s="15" t="inlineStr">
        <is>
          <t>Annual Rent Growth %</t>
        </is>
      </c>
      <c r="E41" s="94" t="n">
        <v>0.03</v>
      </c>
    </row>
    <row r="43" ht="21.75" customHeight="1">
      <c r="A43" s="8" t="inlineStr">
        <is>
          <t>OPERATING EXPENSE ASSUMPTIONS (T12 NORMALIZED)</t>
        </is>
      </c>
    </row>
    <row r="44" ht="15" customHeight="1">
      <c r="A44" s="15" t="inlineStr">
        <is>
          <t>Property Management %</t>
        </is>
      </c>
      <c r="B44" s="94" t="n">
        <v>0.1</v>
      </c>
      <c r="D44" s="15" t="inlineStr">
        <is>
          <t>Property Management %</t>
        </is>
      </c>
      <c r="E44" s="94" t="n">
        <v>0.1</v>
      </c>
    </row>
    <row r="45" ht="15" customHeight="1">
      <c r="A45" s="15" t="inlineStr">
        <is>
          <t>Property Tax (annual)</t>
        </is>
      </c>
      <c r="B45" s="105" t="n"/>
      <c r="D45" s="15" t="inlineStr">
        <is>
          <t>Property Tax (annual)</t>
        </is>
      </c>
      <c r="E45" s="105" t="n"/>
    </row>
    <row r="46" ht="15" customHeight="1">
      <c r="A46" s="15" t="inlineStr">
        <is>
          <t>Property Insurance</t>
        </is>
      </c>
      <c r="B46" s="105" t="n"/>
      <c r="D46" s="15" t="inlineStr">
        <is>
          <t>Property Insurance</t>
        </is>
      </c>
      <c r="E46" s="105" t="n"/>
    </row>
    <row r="47" ht="15" customHeight="1">
      <c r="A47" s="15" t="inlineStr">
        <is>
          <t>Utilities (owner-paid)</t>
        </is>
      </c>
      <c r="B47" s="90" t="n"/>
      <c r="D47" s="15" t="inlineStr">
        <is>
          <t>Utilities (owner-paid)</t>
        </is>
      </c>
      <c r="E47" s="105" t="n"/>
    </row>
    <row r="48" ht="15" customHeight="1">
      <c r="A48" s="15" t="inlineStr">
        <is>
          <t>Repairs &amp; Maintenance</t>
        </is>
      </c>
      <c r="B48" s="105" t="n"/>
      <c r="D48" s="15" t="inlineStr">
        <is>
          <t>Repairs &amp; Maintenance</t>
        </is>
      </c>
      <c r="E48" s="105" t="n"/>
    </row>
    <row r="49" ht="15" customHeight="1">
      <c r="A49" s="15" t="inlineStr">
        <is>
          <t>Replacement Reserves ($/unit/yr)</t>
        </is>
      </c>
      <c r="B49" s="105" t="n"/>
      <c r="D49" s="15" t="inlineStr">
        <is>
          <t>Replacement Reserves ($/unit/yr)</t>
        </is>
      </c>
      <c r="E49" s="105" t="n"/>
    </row>
    <row r="50" ht="15" customHeight="1">
      <c r="A50" s="15" t="inlineStr">
        <is>
          <t>Annual Expense Inflation %</t>
        </is>
      </c>
      <c r="B50" s="94" t="n">
        <v>0.03</v>
      </c>
      <c r="D50" s="15" t="inlineStr">
        <is>
          <t>Annual Expense Inflation %</t>
        </is>
      </c>
      <c r="E50" s="94" t="n">
        <v>0.03</v>
      </c>
    </row>
    <row r="52" ht="21.75" customHeight="1">
      <c r="A52" s="8" t="inlineStr">
        <is>
          <t>REFINANCE / BALLOON ASSUMPTIONS (uses the Refi Year below)</t>
        </is>
      </c>
    </row>
    <row r="53" ht="15" customHeight="1">
      <c r="A53" s="15" t="inlineStr">
        <is>
          <t>Refi Year</t>
        </is>
      </c>
      <c r="B53" s="95" t="n"/>
      <c r="C53" s="111" t="inlineStr">
        <is>
          <t>Leave BLANK and the model uses the earliest year the refi actually clears (solved on Refi_Timeline). Type a year only to override.</t>
        </is>
      </c>
      <c r="D53" s="15" t="inlineStr">
        <is>
          <t>Refi Year</t>
        </is>
      </c>
      <c r="E53" s="95" t="n">
        <v>10</v>
      </c>
    </row>
    <row r="54" ht="15" customHeight="1">
      <c r="A54" s="15" t="inlineStr">
        <is>
          <t>Refi Cap Rate (exit valuation)</t>
        </is>
      </c>
      <c r="B54" s="94" t="n">
        <v>0.08</v>
      </c>
      <c r="D54" s="15" t="inlineStr">
        <is>
          <t>Refi Cap Rate (exit valuation)</t>
        </is>
      </c>
      <c r="E54" s="94" t="n">
        <v>0.08</v>
      </c>
    </row>
    <row r="55" ht="15" customHeight="1">
      <c r="A55" s="15" t="inlineStr">
        <is>
          <t>Refi LTV %</t>
        </is>
      </c>
      <c r="B55" s="94" t="n">
        <v>0.75</v>
      </c>
      <c r="D55" s="15" t="inlineStr">
        <is>
          <t>Refi LTV %</t>
        </is>
      </c>
      <c r="E55" s="94" t="n">
        <v>0.75</v>
      </c>
    </row>
    <row r="56" ht="15" customHeight="1">
      <c r="A56" s="15" t="inlineStr">
        <is>
          <t>Refi Rate</t>
        </is>
      </c>
      <c r="B56" s="94" t="n">
        <v>0.07000000000000001</v>
      </c>
      <c r="D56" s="15" t="inlineStr">
        <is>
          <t>Refi Rate</t>
        </is>
      </c>
      <c r="E56" s="94" t="n">
        <v>0.07000000000000001</v>
      </c>
    </row>
    <row r="57" ht="15" customHeight="1">
      <c r="A57" s="15" t="inlineStr">
        <is>
          <t>Refi Min DSCR</t>
        </is>
      </c>
      <c r="B57" s="63" t="n">
        <v>1.25</v>
      </c>
      <c r="D57" s="15" t="inlineStr">
        <is>
          <t>Refi Min DSCR</t>
        </is>
      </c>
      <c r="E57" s="63" t="n">
        <v>1.25</v>
      </c>
    </row>
    <row r="58">
      <c r="A58" t="inlineStr">
        <is>
          <t>Market Target Cap Rate (Deal Score benchmark)</t>
        </is>
      </c>
      <c r="B58" t="n">
        <v>0.08</v>
      </c>
    </row>
    <row r="59">
      <c r="A59" t="inlineStr">
        <is>
          <t>Earliest clean refi year (solved, base case)</t>
        </is>
      </c>
      <c r="B59" s="120">
        <f>IFERROR(Refi_Timeline!C29,"—")</f>
        <v/>
      </c>
      <c r="C59" s="111" t="inlineStr">
        <is>
          <t>Comes from the year-by-year table, not an assumption. Stress cases solve their own years further down that tab.</t>
        </is>
      </c>
    </row>
    <row r="60" ht="19.5" customHeight="1">
      <c r="A60" s="11" t="inlineStr">
        <is>
          <t>LEGEND</t>
        </is>
      </c>
    </row>
    <row r="61" ht="15" customHeight="1">
      <c r="A61" s="64" t="inlineStr">
        <is>
          <t>Blue text = Hardcoded inputs</t>
        </is>
      </c>
      <c r="D61" s="65" t="inlineStr">
        <is>
          <t>Black text = Formulas/calculations</t>
        </is>
      </c>
    </row>
    <row r="62" ht="15" customHeight="1">
      <c r="A62" s="66" t="inlineStr">
        <is>
          <t>Green text = Cross-sheet links</t>
        </is>
      </c>
      <c r="D62" s="67" t="inlineStr">
        <is>
          <t>Yellow background = Key levers</t>
        </is>
      </c>
    </row>
    <row r="64">
      <c r="A64" s="125" t="inlineStr">
        <is>
          <t>CASH INVESTED &amp; ACQUISITION GATES  (added 1.14.38)</t>
        </is>
      </c>
      <c r="B64" s="113" t="n"/>
      <c r="C64" s="113" t="n"/>
      <c r="D64" s="113" t="n"/>
      <c r="E64" s="113" t="n"/>
      <c r="F64" s="113" t="n"/>
      <c r="G64" s="113" t="n"/>
      <c r="H64" s="113" t="n"/>
    </row>
    <row r="65">
      <c r="A65" t="inlineStr">
        <is>
          <t>Closing costs $ ★</t>
        </is>
      </c>
      <c r="B65" s="114" t="n">
        <v>0</v>
      </c>
      <c r="D65" t="inlineStr">
        <is>
          <t>Closing costs $ ★</t>
        </is>
      </c>
      <c r="E65" s="114" t="n">
        <v>0</v>
      </c>
    </row>
    <row r="66">
      <c r="A66" t="inlineStr">
        <is>
          <t>Prepaid taxes, insurance, reserves $ ★</t>
        </is>
      </c>
      <c r="B66" s="114" t="n">
        <v>0</v>
      </c>
      <c r="D66" t="inlineStr">
        <is>
          <t>Prepaid taxes, insurance, reserves $ ★</t>
        </is>
      </c>
      <c r="E66" s="114" t="n">
        <v>0</v>
      </c>
    </row>
    <row r="67">
      <c r="A67" t="inlineStr">
        <is>
          <t>Day-one capex $ ★</t>
        </is>
      </c>
      <c r="B67" s="114" t="n">
        <v>0</v>
      </c>
      <c r="D67" t="inlineStr">
        <is>
          <t>Day-one capex $ ★</t>
        </is>
      </c>
      <c r="E67" s="114" t="n">
        <v>0</v>
      </c>
    </row>
    <row r="68">
      <c r="A68" t="inlineStr">
        <is>
          <t>DSCR floor — acquisition ★</t>
        </is>
      </c>
      <c r="B68" s="115" t="n">
        <v>1.25</v>
      </c>
    </row>
    <row r="69">
      <c r="A69" t="inlineStr">
        <is>
          <t>Cash-on-cash floor ★</t>
        </is>
      </c>
      <c r="B69" s="116" t="n">
        <v>0.15</v>
      </c>
    </row>
    <row r="70">
      <c r="A70" s="111" t="inlineStr">
        <is>
          <t>Cash-on-cash is measured on cash ACTUALLY invested — not on the down payment. When a funder covers the down, the denominator is what you really bring.</t>
        </is>
      </c>
    </row>
  </sheetData>
  <mergeCells count="9">
    <mergeCell ref="A4:H4"/>
    <mergeCell ref="A30:H30"/>
    <mergeCell ref="A35:H35"/>
    <mergeCell ref="A43:H43"/>
    <mergeCell ref="A2:H2"/>
    <mergeCell ref="A52:H52"/>
    <mergeCell ref="A10:H10"/>
    <mergeCell ref="A60:H60"/>
    <mergeCell ref="A1:H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41"/>
  <sheetViews>
    <sheetView zoomScaleNormal="100" workbookViewId="0">
      <selection activeCell="A1" sqref="A1"/>
    </sheetView>
  </sheetViews>
  <sheetFormatPr baseColWidth="8" defaultColWidth="8.7109375" defaultRowHeight="15"/>
  <cols>
    <col width="36" customWidth="1" min="1" max="1"/>
    <col width="16" customWidth="1" min="2" max="3"/>
    <col width="18" customWidth="1" min="4" max="4"/>
    <col width="4" customWidth="1" min="5" max="5"/>
    <col width="36" customWidth="1" min="6" max="6"/>
  </cols>
  <sheetData>
    <row r="1" ht="30" customHeight="1">
      <c r="A1" s="10" t="inlineStr">
        <is>
          <t>INCOME STATEMENT — STABILIZED PRO FORMA (YEAR 1)</t>
        </is>
      </c>
    </row>
    <row r="3" ht="15" customHeight="1">
      <c r="A3" s="11" t="inlineStr">
        <is>
          <t>Line Item</t>
        </is>
      </c>
      <c r="B3" s="12" t="inlineStr">
        <is>
          <t>Property 1</t>
        </is>
      </c>
      <c r="C3" s="12" t="inlineStr">
        <is>
          <t>Property 2</t>
        </is>
      </c>
      <c r="D3" s="12" t="inlineStr">
        <is>
          <t>Combined</t>
        </is>
      </c>
    </row>
    <row r="4" ht="21.75" customHeight="1">
      <c r="A4" s="8" t="inlineStr">
        <is>
          <t>INCOME</t>
        </is>
      </c>
    </row>
    <row r="5" ht="15" customHeight="1">
      <c r="A5" s="13" t="inlineStr">
        <is>
          <t>Gross Scheduled Income (GSI)</t>
        </is>
      </c>
      <c r="B5" s="84">
        <f>Assumptions!B36</f>
        <v/>
      </c>
      <c r="C5" s="84">
        <f>Assumptions!E36</f>
        <v/>
      </c>
      <c r="D5" s="86">
        <f>B5+C5</f>
        <v/>
      </c>
    </row>
    <row r="6" ht="15" customHeight="1">
      <c r="A6" s="15" t="inlineStr">
        <is>
          <t>Other Income</t>
        </is>
      </c>
      <c r="B6" s="84">
        <f>Assumptions!B37</f>
        <v/>
      </c>
      <c r="C6" s="84">
        <f>Assumptions!E37</f>
        <v/>
      </c>
      <c r="D6" s="87">
        <f>B6+C6</f>
        <v/>
      </c>
    </row>
    <row r="7" ht="15" customHeight="1">
      <c r="A7" s="15" t="inlineStr">
        <is>
          <t>Less: Vacancy</t>
        </is>
      </c>
      <c r="B7" s="84">
        <f>-Assumptions!B39</f>
        <v/>
      </c>
      <c r="C7" s="84">
        <f>-Assumptions!E39</f>
        <v/>
      </c>
      <c r="D7" s="87">
        <f>B7+C7</f>
        <v/>
      </c>
    </row>
    <row r="8" ht="15" customHeight="1">
      <c r="A8" s="13" t="inlineStr">
        <is>
          <t>Effective Gross Income (EGI)</t>
        </is>
      </c>
      <c r="B8" s="96">
        <f>B5+B6+B7</f>
        <v/>
      </c>
      <c r="C8" s="96">
        <f>C5+C6+C7</f>
        <v/>
      </c>
      <c r="D8" s="96">
        <f>B8+C8</f>
        <v/>
      </c>
    </row>
    <row r="10" ht="21.75" customHeight="1">
      <c r="A10" s="8" t="inlineStr">
        <is>
          <t>OPERATING EXPENSES</t>
        </is>
      </c>
    </row>
    <row r="11" ht="15" customHeight="1">
      <c r="A11" s="15" t="inlineStr">
        <is>
          <t>Property Management</t>
        </is>
      </c>
      <c r="B11" s="87">
        <f>B8*Assumptions!B44</f>
        <v/>
      </c>
      <c r="C11" s="87">
        <f>C8*Assumptions!E44</f>
        <v/>
      </c>
      <c r="D11" s="87">
        <f>B11+C11</f>
        <v/>
      </c>
    </row>
    <row r="12" ht="15" customHeight="1">
      <c r="A12" s="15" t="inlineStr">
        <is>
          <t>Property Tax</t>
        </is>
      </c>
      <c r="B12" s="84">
        <f>Assumptions!B45</f>
        <v/>
      </c>
      <c r="C12" s="84">
        <f>Assumptions!E45</f>
        <v/>
      </c>
      <c r="D12" s="87">
        <f>B12+C12</f>
        <v/>
      </c>
    </row>
    <row r="13" ht="15" customHeight="1">
      <c r="A13" s="15" t="inlineStr">
        <is>
          <t>Property Insurance</t>
        </is>
      </c>
      <c r="B13" s="84">
        <f>Assumptions!B46</f>
        <v/>
      </c>
      <c r="C13" s="84">
        <f>Assumptions!E46</f>
        <v/>
      </c>
      <c r="D13" s="87">
        <f>B13+C13</f>
        <v/>
      </c>
    </row>
    <row r="14" ht="15" customHeight="1">
      <c r="A14" s="15" t="inlineStr">
        <is>
          <t>Utilities (owner-paid)</t>
        </is>
      </c>
      <c r="B14" s="84">
        <f>Assumptions!B47</f>
        <v/>
      </c>
      <c r="C14" s="84">
        <f>Assumptions!E47</f>
        <v/>
      </c>
      <c r="D14" s="87">
        <f>B14+C14</f>
        <v/>
      </c>
    </row>
    <row r="15" ht="15" customHeight="1">
      <c r="A15" s="15" t="inlineStr">
        <is>
          <t>Repairs &amp; Maintenance</t>
        </is>
      </c>
      <c r="B15" s="84">
        <f>Assumptions!B48</f>
        <v/>
      </c>
      <c r="C15" s="84">
        <f>Assumptions!E48</f>
        <v/>
      </c>
      <c r="D15" s="87">
        <f>B15+C15</f>
        <v/>
      </c>
    </row>
    <row r="16" ht="15" customHeight="1">
      <c r="A16" s="15" t="inlineStr">
        <is>
          <t>Replacement Reserves</t>
        </is>
      </c>
      <c r="B16" s="87">
        <f>Assumptions!B49*Assumptions!B7</f>
        <v/>
      </c>
      <c r="C16" s="87">
        <f>Assumptions!E49*Assumptions!E7</f>
        <v/>
      </c>
      <c r="D16" s="87">
        <f>B16+C16</f>
        <v/>
      </c>
    </row>
    <row r="17" ht="15" customHeight="1">
      <c r="A17" s="13" t="inlineStr">
        <is>
          <t>Total Operating Expenses</t>
        </is>
      </c>
      <c r="B17" s="96">
        <f>SUM(B11:B16)</f>
        <v/>
      </c>
      <c r="C17" s="96">
        <f>SUM(C11:C16)</f>
        <v/>
      </c>
      <c r="D17" s="96">
        <f>B17+C17</f>
        <v/>
      </c>
    </row>
    <row r="18" ht="15" customHeight="1">
      <c r="A18" s="13" t="inlineStr">
        <is>
          <t>Operating Expense Ratio</t>
        </is>
      </c>
      <c r="B18" s="92">
        <f>IFERROR(B17/B8,"—")</f>
        <v/>
      </c>
      <c r="C18" s="92">
        <f>IFERROR(C17/C8,"—")</f>
        <v/>
      </c>
      <c r="D18" s="92">
        <f>IFERROR(D17/D8,"—")</f>
        <v/>
      </c>
    </row>
    <row r="20" ht="21.75" customHeight="1">
      <c r="A20" s="8" t="inlineStr">
        <is>
          <t>NET OPERATING INCOME</t>
        </is>
      </c>
    </row>
    <row r="21" ht="15" customHeight="1">
      <c r="A21" s="13" t="inlineStr">
        <is>
          <t>NOI (Stabilized)</t>
        </is>
      </c>
      <c r="B21" s="101">
        <f>B8-B17</f>
        <v/>
      </c>
      <c r="C21" s="101">
        <f>C8-C17</f>
        <v/>
      </c>
      <c r="D21" s="101">
        <f>B21+C21</f>
        <v/>
      </c>
    </row>
    <row r="22" ht="15" customHeight="1">
      <c r="A22" s="13" t="inlineStr">
        <is>
          <t>Implied Cap Rate at Purchase Price</t>
        </is>
      </c>
      <c r="B22" s="92">
        <f>IFERROR(B21/Assumptions!B6,"—")</f>
        <v/>
      </c>
      <c r="C22" s="92">
        <f>IFERROR(C21/Assumptions!E6,"—")</f>
        <v/>
      </c>
      <c r="D22" s="92">
        <f>IFERROR(D21/Assumptions!H6,"—")</f>
        <v/>
      </c>
    </row>
    <row r="24" ht="21.75" customHeight="1">
      <c r="A24" s="8" t="inlineStr">
        <is>
          <t>DEBT SERVICE &amp; DSCR</t>
        </is>
      </c>
    </row>
    <row r="25" ht="15" customHeight="1">
      <c r="A25" s="15" t="inlineStr">
        <is>
          <t>Senior Loan Annual Debt Service</t>
        </is>
      </c>
      <c r="B25" s="84">
        <f>Assumptions!B17</f>
        <v/>
      </c>
      <c r="C25" s="84">
        <f>Assumptions!E17</f>
        <v/>
      </c>
      <c r="D25" s="87">
        <f>B25+C25</f>
        <v/>
      </c>
    </row>
    <row r="26" ht="15" customHeight="1">
      <c r="A26" s="15" t="inlineStr">
        <is>
          <t>Seller Carry Annual Debt Service</t>
        </is>
      </c>
      <c r="B26" s="84">
        <f>Assumptions!B24</f>
        <v/>
      </c>
      <c r="C26" s="84">
        <f>Assumptions!E24</f>
        <v/>
      </c>
      <c r="D26" s="87">
        <f>B26+C26</f>
        <v/>
      </c>
    </row>
    <row r="27" ht="15" customHeight="1">
      <c r="A27" s="13" t="inlineStr">
        <is>
          <t>Total Annual Debt Service</t>
        </is>
      </c>
      <c r="B27" s="86">
        <f>B25+B26</f>
        <v/>
      </c>
      <c r="C27" s="86">
        <f>C25+C26</f>
        <v/>
      </c>
      <c r="D27" s="86">
        <f>B27+C27</f>
        <v/>
      </c>
    </row>
    <row r="28" ht="15" customHeight="1">
      <c r="A28" s="13" t="inlineStr">
        <is>
          <t>DSCR — Senior Only</t>
        </is>
      </c>
      <c r="B28" s="36">
        <f>IFERROR(IF(B25=0,0,B21/B25),"—")</f>
        <v/>
      </c>
      <c r="C28" s="36">
        <f>IFERROR(IF(C25=0,0,C21/C25),"—")</f>
        <v/>
      </c>
      <c r="D28" s="36">
        <f>IFERROR(IF(D25=0,0,D21/D25),"—")</f>
        <v/>
      </c>
    </row>
    <row r="29" ht="15" customHeight="1">
      <c r="A29" s="13" t="inlineStr">
        <is>
          <t>DSCR — Total (Sr + Carry)</t>
        </is>
      </c>
      <c r="B29" s="36">
        <f>IFERROR(IF(B27=0,0,B21/B27),"—")</f>
        <v/>
      </c>
      <c r="C29" s="36">
        <f>IFERROR(IF(C27=0,0,C21/C27),"—")</f>
        <v/>
      </c>
      <c r="D29" s="36">
        <f>IFERROR(IF(D27=0,0,D21/D27),"—")</f>
        <v/>
      </c>
    </row>
    <row r="30" ht="15" customHeight="1">
      <c r="A30" s="13" t="inlineStr">
        <is>
          <t>Cash Flow After Total Debt Service</t>
        </is>
      </c>
      <c r="B30" s="86">
        <f>B21-B27</f>
        <v/>
      </c>
      <c r="C30" s="86">
        <f>C21-C27</f>
        <v/>
      </c>
      <c r="D30" s="86">
        <f>B30+C30</f>
        <v/>
      </c>
    </row>
    <row r="32">
      <c r="A32" s="125" t="inlineStr">
        <is>
          <t>CASH INVESTED &amp; RETURN  (added 1.14.38)</t>
        </is>
      </c>
      <c r="B32" s="113" t="n"/>
      <c r="C32" s="113" t="n"/>
      <c r="D32" s="113" t="n"/>
    </row>
    <row r="33">
      <c r="A33" t="inlineStr">
        <is>
          <t>Down payment actually paid (after transactional funding)</t>
        </is>
      </c>
      <c r="B33" s="119">
        <f>IFERROR(MAX(0,Assumptions!B27)-Assumptions!B31,0)</f>
        <v/>
      </c>
      <c r="C33" s="119">
        <f>IFERROR(MAX(0,Assumptions!E27)-Assumptions!E31,0)</f>
        <v/>
      </c>
      <c r="D33" s="119">
        <f>B33+C33</f>
        <v/>
      </c>
    </row>
    <row r="34">
      <c r="A34" t="inlineStr">
        <is>
          <t>Transactional funding fee</t>
        </is>
      </c>
      <c r="B34" s="119">
        <f>Assumptions!B33</f>
        <v/>
      </c>
      <c r="C34" s="119">
        <f>Assumptions!E33</f>
        <v/>
      </c>
      <c r="D34" s="119">
        <f>B34+C34</f>
        <v/>
      </c>
    </row>
    <row r="35">
      <c r="A35" t="inlineStr">
        <is>
          <t>Closing costs</t>
        </is>
      </c>
      <c r="B35" s="119">
        <f>Assumptions!B65</f>
        <v/>
      </c>
      <c r="C35" s="119">
        <f>Assumptions!E65</f>
        <v/>
      </c>
      <c r="D35" s="119">
        <f>B35+C35</f>
        <v/>
      </c>
    </row>
    <row r="36">
      <c r="A36" t="inlineStr">
        <is>
          <t>Prepaids &amp; reserves</t>
        </is>
      </c>
      <c r="B36" s="119">
        <f>Assumptions!B66</f>
        <v/>
      </c>
      <c r="C36" s="119">
        <f>Assumptions!E66</f>
        <v/>
      </c>
      <c r="D36" s="119">
        <f>B36+C36</f>
        <v/>
      </c>
    </row>
    <row r="37">
      <c r="A37" t="inlineStr">
        <is>
          <t>Day-one capex</t>
        </is>
      </c>
      <c r="B37" s="119">
        <f>Assumptions!B67</f>
        <v/>
      </c>
      <c r="C37" s="119">
        <f>Assumptions!E67</f>
        <v/>
      </c>
      <c r="D37" s="119">
        <f>B37+C37</f>
        <v/>
      </c>
    </row>
    <row r="38">
      <c r="A38" s="120" t="inlineStr">
        <is>
          <t>TOTAL CASH INVESTED</t>
        </is>
      </c>
      <c r="B38" s="121">
        <f>IFERROR(SUM(B33:B37),"—")</f>
        <v/>
      </c>
      <c r="C38" s="121">
        <f>IFERROR(SUM(C33:C37),"—")</f>
        <v/>
      </c>
      <c r="D38" s="121">
        <f>IFERROR(SUM(D33:D37),"—")</f>
        <v/>
      </c>
    </row>
    <row r="39">
      <c r="A39" s="120" t="inlineStr">
        <is>
          <t>Cash-on-Cash Return</t>
        </is>
      </c>
      <c r="B39" s="129">
        <f>IFERROR(IF(B38&lt;=0,"no cash in",B30/B38),"—")</f>
        <v/>
      </c>
      <c r="C39" s="129">
        <f>IFERROR(IF(C38&lt;=0,"no cash in",C30/C38),"—")</f>
        <v/>
      </c>
      <c r="D39" s="129">
        <f>IFERROR(IF(D38&lt;=0,"no cash in",D30/D38),"—")</f>
        <v/>
      </c>
    </row>
    <row r="40">
      <c r="A40" t="inlineStr">
        <is>
          <t>GATE — DSCR ≥ floor</t>
        </is>
      </c>
      <c r="B40" s="120">
        <f>IFERROR(IF(B27=0,"n/a — no debt",IF(B29&gt;=Assumptions!$B$68,"PASS","FAIL")),"—")</f>
        <v/>
      </c>
      <c r="C40" s="120">
        <f>IFERROR(IF(C27=0,"n/a — no debt",IF(C29&gt;=Assumptions!$B$68,"PASS","FAIL")),"—")</f>
        <v/>
      </c>
      <c r="D40" s="120">
        <f>IFERROR(IF(D27=0,"n/a — no debt",IF(D29&gt;=Assumptions!$B$68,"PASS","FAIL")),"—")</f>
        <v/>
      </c>
    </row>
    <row r="41">
      <c r="A41" t="inlineStr">
        <is>
          <t>GATE — Cash-on-Cash ≥ floor</t>
        </is>
      </c>
      <c r="B41" s="120">
        <f>IFERROR(IF(NOT(ISNUMBER(B39)),"—",IF(B39&gt;=Assumptions!$B$69,"PASS","FAIL")),"—")</f>
        <v/>
      </c>
      <c r="C41" s="120">
        <f>IFERROR(IF(NOT(ISNUMBER(C39)),"—",IF(C39&gt;=Assumptions!$B$69,"PASS","FAIL")),"—")</f>
        <v/>
      </c>
      <c r="D41" s="120">
        <f>IFERROR(IF(NOT(ISNUMBER(D39)),"—",IF(D39&gt;=Assumptions!$B$69,"PASS","FAIL")),"—")</f>
        <v/>
      </c>
    </row>
  </sheetData>
  <mergeCells count="5">
    <mergeCell ref="A1:D1"/>
    <mergeCell ref="A4:D4"/>
    <mergeCell ref="A20:D20"/>
    <mergeCell ref="A24:D24"/>
    <mergeCell ref="A10:D10"/>
  </mergeCells>
  <conditionalFormatting sqref="B28:D29">
    <cfRule type="cellIs" priority="2" operator="greaterThanOrEqual" dxfId="2">
      <formula>1.25</formula>
    </cfRule>
    <cfRule type="cellIs" priority="3" operator="between" dxfId="3">
      <formula>1</formula>
      <formula>1.249</formula>
    </cfRule>
    <cfRule type="cellIs" priority="4" operator="lessThan" dxfId="0">
      <formula>1</formula>
    </cfRule>
  </conditionalFormatting>
  <conditionalFormatting sqref="B30:D30">
    <cfRule type="cellIs" priority="5" operator="greaterThan" dxfId="3">
      <formula>0</formula>
    </cfRule>
    <cfRule type="cellIs" priority="6" operator="lessThanOrEqual" dxfId="0">
      <formula>0</formula>
    </cfRule>
  </conditionalFormatting>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89"/>
  <sheetViews>
    <sheetView topLeftCell="A34" zoomScaleNormal="100" workbookViewId="0">
      <selection activeCell="A1" sqref="A1:L1"/>
    </sheetView>
  </sheetViews>
  <sheetFormatPr baseColWidth="8" defaultColWidth="8.7109375" defaultRowHeight="15"/>
  <cols>
    <col width="38" customWidth="1" min="1" max="1"/>
    <col width="13" customWidth="1" min="2" max="12"/>
  </cols>
  <sheetData>
    <row r="1" ht="30" customHeight="1">
      <c r="A1" s="10" t="inlineStr">
        <is>
          <t>ZOXIRO — 10-YEAR CASH FLOW &amp; STRESS TEST</t>
        </is>
      </c>
    </row>
    <row r="2" ht="21.75" customHeight="1">
      <c r="A2" s="12" t="inlineStr">
        <is>
          <t>Combined Deal | Driven by Scenarios tab inputs | Stress tests show deal resilience under adverse conditions</t>
        </is>
      </c>
    </row>
    <row r="4" ht="21.75" customHeight="1">
      <c r="A4" s="8" t="inlineStr">
        <is>
          <t>STRESS TEST INPUT KNOBS  (yellow = editable — change to flex severity)</t>
        </is>
      </c>
    </row>
    <row r="5" ht="15" customHeight="1">
      <c r="A5" s="15" t="inlineStr">
        <is>
          <t>NOI Growth Rate (annual, post-stab)</t>
        </is>
      </c>
      <c r="B5" s="94" t="n">
        <v>0.025</v>
      </c>
      <c r="C5" s="111" t="inlineStr">
        <is>
          <t>NOI growth is its own knob — deliberately separate from rent growth, because NOI nets expense inflation.</t>
        </is>
      </c>
    </row>
    <row r="6" ht="15" customHeight="1">
      <c r="A6" s="15" t="inlineStr">
        <is>
          <t>Stabilization Year</t>
        </is>
      </c>
      <c r="B6" s="95" t="n">
        <v>3</v>
      </c>
    </row>
    <row r="7" ht="39" customHeight="1">
      <c r="A7" s="15" t="inlineStr">
        <is>
          <t>Stress: Rent Haircut %</t>
        </is>
      </c>
      <c r="B7" s="94" t="n">
        <v>0.05</v>
      </c>
      <c r="D7" s="32" t="inlineStr">
        <is>
          <t>(default 5% rent decline — moderate stress)</t>
        </is>
      </c>
    </row>
    <row r="8" ht="39" customHeight="1">
      <c r="A8" s="15" t="inlineStr">
        <is>
          <t>Stress: OpEx Inflation %</t>
        </is>
      </c>
      <c r="B8" s="94" t="n">
        <v>0.08</v>
      </c>
      <c r="D8" s="32" t="inlineStr">
        <is>
          <t>(default 8% OpEx escalation — moderate stress)</t>
        </is>
      </c>
    </row>
    <row r="9" ht="26.25" customHeight="1">
      <c r="A9" s="15" t="inlineStr">
        <is>
          <t>Stress: Refi Rate Add-On (bps)</t>
        </is>
      </c>
      <c r="B9" s="94" t="n">
        <v>0.01</v>
      </c>
      <c r="D9" s="32" t="inlineStr">
        <is>
          <t>(refi at 8% vs base 7%)</t>
        </is>
      </c>
    </row>
    <row r="10" ht="39" customHeight="1">
      <c r="A10" s="15" t="inlineStr">
        <is>
          <t>Stress: Exit Cap Add-On (bps)</t>
        </is>
      </c>
      <c r="B10" s="94" t="n">
        <v>0.005</v>
      </c>
      <c r="D10" s="32" t="inlineStr">
        <is>
          <t>(exit cap 8.5% vs base 8%)</t>
        </is>
      </c>
    </row>
    <row r="11" ht="15" customHeight="1">
      <c r="A11" s="15" t="inlineStr">
        <is>
          <t>Base Refi Rate</t>
        </is>
      </c>
      <c r="B11" s="135">
        <f>Assumptions!B56</f>
        <v/>
      </c>
      <c r="C11" s="111" t="inlineStr">
        <is>
          <t>Now reads the Assumptions tab.</t>
        </is>
      </c>
    </row>
    <row r="12" ht="15" customHeight="1">
      <c r="A12" s="15" t="inlineStr">
        <is>
          <t>Base Exit Cap</t>
        </is>
      </c>
      <c r="B12" s="135">
        <f>Assumptions!B54</f>
        <v/>
      </c>
      <c r="C12" s="111" t="inlineStr">
        <is>
          <t>Now reads the Assumptions tab.</t>
        </is>
      </c>
    </row>
    <row r="14" ht="21.75" customHeight="1">
      <c r="A14" s="8" t="inlineStr">
        <is>
          <t>SECTION 1 — BASE CASE 10-YEAR CASH FLOW PROJECTION (Combined Deal)</t>
        </is>
      </c>
    </row>
    <row r="15" ht="21.75" customHeight="1">
      <c r="A15" s="11" t="inlineStr">
        <is>
          <t>Year</t>
        </is>
      </c>
      <c r="B15" s="12" t="inlineStr">
        <is>
          <t>Y1</t>
        </is>
      </c>
      <c r="C15" s="12" t="inlineStr">
        <is>
          <t>Y2</t>
        </is>
      </c>
      <c r="D15" s="12" t="inlineStr">
        <is>
          <t>Y3</t>
        </is>
      </c>
      <c r="E15" s="12" t="inlineStr">
        <is>
          <t>Y4</t>
        </is>
      </c>
      <c r="F15" s="12" t="inlineStr">
        <is>
          <t>Y5</t>
        </is>
      </c>
      <c r="G15" s="12" t="inlineStr">
        <is>
          <t>Y6</t>
        </is>
      </c>
      <c r="H15" s="12" t="inlineStr">
        <is>
          <t>Y7</t>
        </is>
      </c>
      <c r="I15" s="12" t="inlineStr">
        <is>
          <t>Y8</t>
        </is>
      </c>
      <c r="J15" s="12" t="inlineStr">
        <is>
          <t>Y9</t>
        </is>
      </c>
      <c r="K15" s="12" t="inlineStr">
        <is>
          <t>Y10</t>
        </is>
      </c>
    </row>
    <row r="16" ht="15" customHeight="1">
      <c r="A16" s="25" t="inlineStr">
        <is>
          <t>NOI</t>
        </is>
      </c>
      <c r="B16" s="87">
        <f>Scenarios!D11</f>
        <v/>
      </c>
      <c r="C16" s="87">
        <f>IFERROR(Scenarios!D11+(Scenarios!D12-Scenarios!D11)/2,"—")</f>
        <v/>
      </c>
      <c r="D16" s="87">
        <f>Scenarios!D12</f>
        <v/>
      </c>
      <c r="E16" s="87">
        <f>Scenarios!D12*(1+B5)^(4-3)</f>
        <v/>
      </c>
      <c r="F16" s="87">
        <f>Scenarios!D12*(1+B5)^(5-3)</f>
        <v/>
      </c>
      <c r="G16" s="87">
        <f>Scenarios!D12*(1+B5)^(6-3)</f>
        <v/>
      </c>
      <c r="H16" s="87">
        <f>Scenarios!D12*(1+B5)^(7-3)</f>
        <v/>
      </c>
      <c r="I16" s="87">
        <f>Scenarios!D12*(1+B5)^(8-3)</f>
        <v/>
      </c>
      <c r="J16" s="87">
        <f>Scenarios!D12*(1+B5)^(9-3)</f>
        <v/>
      </c>
      <c r="K16" s="87">
        <f>Scenarios!D12*(1+B5)^(10-3)</f>
        <v/>
      </c>
    </row>
    <row r="17" ht="15" customHeight="1">
      <c r="A17" s="15" t="inlineStr">
        <is>
          <t>Senior DS (combined)</t>
        </is>
      </c>
      <c r="B17" s="87">
        <f>Scenarios!D21</f>
        <v/>
      </c>
      <c r="C17" s="87">
        <f>Scenarios!D21</f>
        <v/>
      </c>
      <c r="D17" s="87">
        <f>Scenarios!D21</f>
        <v/>
      </c>
      <c r="E17" s="87">
        <f>Scenarios!D21</f>
        <v/>
      </c>
      <c r="F17" s="87">
        <f>Scenarios!D21</f>
        <v/>
      </c>
      <c r="G17" s="87">
        <f>Scenarios!D21</f>
        <v/>
      </c>
      <c r="H17" s="87">
        <f>Scenarios!D21</f>
        <v/>
      </c>
      <c r="I17" s="87">
        <f>Scenarios!D21</f>
        <v/>
      </c>
      <c r="J17" s="87">
        <f>Scenarios!D21</f>
        <v/>
      </c>
      <c r="K17" s="87">
        <f>Scenarios!D21</f>
        <v/>
      </c>
    </row>
    <row r="18" ht="15" customHeight="1">
      <c r="A18" s="15" t="inlineStr">
        <is>
          <t>Carry DS (combined)</t>
        </is>
      </c>
      <c r="B18" s="87">
        <f>Scenarios!D29</f>
        <v/>
      </c>
      <c r="C18" s="87">
        <f>Scenarios!D29</f>
        <v/>
      </c>
      <c r="D18" s="87">
        <f>Scenarios!D29</f>
        <v/>
      </c>
      <c r="E18" s="87">
        <f>Scenarios!D29</f>
        <v/>
      </c>
      <c r="F18" s="87">
        <f>Scenarios!D29</f>
        <v/>
      </c>
      <c r="G18" s="87">
        <f>Scenarios!D29</f>
        <v/>
      </c>
      <c r="H18" s="87">
        <f>Scenarios!D29</f>
        <v/>
      </c>
      <c r="I18" s="87">
        <f>Scenarios!D29</f>
        <v/>
      </c>
      <c r="J18" s="87">
        <f>Scenarios!D29</f>
        <v/>
      </c>
      <c r="K18" s="87">
        <f>Scenarios!D29</f>
        <v/>
      </c>
    </row>
    <row r="19" ht="15" customHeight="1">
      <c r="A19" s="25" t="inlineStr">
        <is>
          <t>Total Debt Service</t>
        </is>
      </c>
      <c r="B19" s="96">
        <f>B17+B18</f>
        <v/>
      </c>
      <c r="C19" s="96">
        <f>C17+C18</f>
        <v/>
      </c>
      <c r="D19" s="96">
        <f>D17+D18</f>
        <v/>
      </c>
      <c r="E19" s="96">
        <f>E17+E18</f>
        <v/>
      </c>
      <c r="F19" s="96">
        <f>F17+F18</f>
        <v/>
      </c>
      <c r="G19" s="96">
        <f>G17+G18</f>
        <v/>
      </c>
      <c r="H19" s="96">
        <f>H17+H18</f>
        <v/>
      </c>
      <c r="I19" s="96">
        <f>I17+I18</f>
        <v/>
      </c>
      <c r="J19" s="96">
        <f>J17+J18</f>
        <v/>
      </c>
      <c r="K19" s="96">
        <f>K17+K18</f>
        <v/>
      </c>
    </row>
    <row r="20" ht="15" customHeight="1">
      <c r="A20" s="25" t="inlineStr">
        <is>
          <t>DSCR (Total Debt)</t>
        </is>
      </c>
      <c r="B20" s="36">
        <f>IFERROR(B16/B19,"—")</f>
        <v/>
      </c>
      <c r="C20" s="36">
        <f>IFERROR(C16/C19,"—")</f>
        <v/>
      </c>
      <c r="D20" s="36">
        <f>IFERROR(D16/D19,"—")</f>
        <v/>
      </c>
      <c r="E20" s="36">
        <f>IFERROR(E16/E19,"—")</f>
        <v/>
      </c>
      <c r="F20" s="36">
        <f>IFERROR(F16/F19,"—")</f>
        <v/>
      </c>
      <c r="G20" s="36">
        <f>IFERROR(G16/G19,"—")</f>
        <v/>
      </c>
      <c r="H20" s="36">
        <f>IFERROR(H16/H19,"—")</f>
        <v/>
      </c>
      <c r="I20" s="36">
        <f>IFERROR(I16/I19,"—")</f>
        <v/>
      </c>
      <c r="J20" s="36">
        <f>IFERROR(J16/J19,"—")</f>
        <v/>
      </c>
      <c r="K20" s="36">
        <f>IFERROR(K16/K19,"—")</f>
        <v/>
      </c>
    </row>
    <row r="21" ht="15" customHeight="1">
      <c r="A21" s="25" t="inlineStr">
        <is>
          <t>Annual CFAT</t>
        </is>
      </c>
      <c r="B21" s="86">
        <f>B16-B19</f>
        <v/>
      </c>
      <c r="C21" s="86">
        <f>C16-C19</f>
        <v/>
      </c>
      <c r="D21" s="86">
        <f>D16-D19</f>
        <v/>
      </c>
      <c r="E21" s="86">
        <f>E16-E19</f>
        <v/>
      </c>
      <c r="F21" s="86">
        <f>F16-F19</f>
        <v/>
      </c>
      <c r="G21" s="86">
        <f>G16-G19</f>
        <v/>
      </c>
      <c r="H21" s="86">
        <f>H16-H19</f>
        <v/>
      </c>
      <c r="I21" s="86">
        <f>I16-I19</f>
        <v/>
      </c>
      <c r="J21" s="86">
        <f>J16-J19</f>
        <v/>
      </c>
      <c r="K21" s="86">
        <f>K16-K19</f>
        <v/>
      </c>
    </row>
    <row r="22" ht="15" customHeight="1">
      <c r="A22" s="15" t="inlineStr">
        <is>
          <t>Monthly CFAT</t>
        </is>
      </c>
      <c r="B22" s="87">
        <f>IFERROR(B21/12,"—")</f>
        <v/>
      </c>
      <c r="C22" s="87">
        <f>IFERROR(C21/12,"—")</f>
        <v/>
      </c>
      <c r="D22" s="87">
        <f>IFERROR(D21/12,"—")</f>
        <v/>
      </c>
      <c r="E22" s="87">
        <f>IFERROR(E21/12,"—")</f>
        <v/>
      </c>
      <c r="F22" s="87">
        <f>IFERROR(F21/12,"—")</f>
        <v/>
      </c>
      <c r="G22" s="87">
        <f>IFERROR(G21/12,"—")</f>
        <v/>
      </c>
      <c r="H22" s="87">
        <f>IFERROR(H21/12,"—")</f>
        <v/>
      </c>
      <c r="I22" s="87">
        <f>IFERROR(I21/12,"—")</f>
        <v/>
      </c>
      <c r="J22" s="87">
        <f>IFERROR(J21/12,"—")</f>
        <v/>
      </c>
      <c r="K22" s="87">
        <f>IFERROR(K21/12,"—")</f>
        <v/>
      </c>
    </row>
    <row r="23" ht="15" customHeight="1">
      <c r="A23" s="15" t="inlineStr">
        <is>
          <t>Cumulative CFAT</t>
        </is>
      </c>
      <c r="B23" s="87">
        <f>B21</f>
        <v/>
      </c>
      <c r="C23" s="87">
        <f>B23+C21</f>
        <v/>
      </c>
      <c r="D23" s="87">
        <f>C23+D21</f>
        <v/>
      </c>
      <c r="E23" s="87">
        <f>D23+E21</f>
        <v/>
      </c>
      <c r="F23" s="87">
        <f>E23+F21</f>
        <v/>
      </c>
      <c r="G23" s="87">
        <f>F23+G21</f>
        <v/>
      </c>
      <c r="H23" s="87">
        <f>G23+H21</f>
        <v/>
      </c>
      <c r="I23" s="87">
        <f>H23+I21</f>
        <v/>
      </c>
      <c r="J23" s="87">
        <f>I23+J21</f>
        <v/>
      </c>
      <c r="K23" s="87">
        <f>J23+K21</f>
        <v/>
      </c>
    </row>
    <row r="24" ht="36" customHeight="1">
      <c r="A24" s="4" t="inlineStr">
        <is>
          <t>⚠️ HYPOTHETICAL SCENARIOS BELOW — NOT THE ACTUAL DEAL DSCR  •  Your real lender DSCR is on Row 20  •  Stress tests show downside only</t>
        </is>
      </c>
    </row>
    <row r="25" ht="24" customHeight="1">
      <c r="A25" s="3" t="inlineStr">
        <is>
          <t>SECTION 2 — STRESS TESTS  (Hypothetical Adverse Scenarios — for internal underwriting, NOT lender DSCR)</t>
        </is>
      </c>
    </row>
    <row r="27" ht="18" customHeight="1">
      <c r="A27" s="2" t="inlineStr">
        <is>
          <t>Stress A — Rent Haircut, per knob B7 (HYPOTHETICAL: vacancy spike or market softening)</t>
        </is>
      </c>
    </row>
    <row r="28" ht="26.25" customHeight="1">
      <c r="A28" s="32" t="inlineStr">
        <is>
          <t>Revenue declines by the Rent Haircut % in B7. NOI = Base NOI - GSI × Rent Haircut.</t>
        </is>
      </c>
    </row>
    <row r="29" ht="15" customHeight="1">
      <c r="A29" s="11" t="inlineStr">
        <is>
          <t>Year</t>
        </is>
      </c>
      <c r="B29" s="12" t="inlineStr">
        <is>
          <t>Y1</t>
        </is>
      </c>
      <c r="C29" s="12" t="inlineStr">
        <is>
          <t>Y2</t>
        </is>
      </c>
      <c r="D29" s="12" t="inlineStr">
        <is>
          <t>Y3</t>
        </is>
      </c>
      <c r="E29" s="12" t="inlineStr">
        <is>
          <t>Y4</t>
        </is>
      </c>
      <c r="F29" s="12" t="inlineStr">
        <is>
          <t>Y5</t>
        </is>
      </c>
      <c r="G29" s="12" t="inlineStr">
        <is>
          <t>Y6</t>
        </is>
      </c>
      <c r="H29" s="12" t="inlineStr">
        <is>
          <t>Y7</t>
        </is>
      </c>
      <c r="I29" s="12" t="inlineStr">
        <is>
          <t>Y8</t>
        </is>
      </c>
      <c r="J29" s="12" t="inlineStr">
        <is>
          <t>Y9</t>
        </is>
      </c>
      <c r="K29" s="12" t="inlineStr">
        <is>
          <t>Y10</t>
        </is>
      </c>
    </row>
    <row r="30" ht="15" customHeight="1">
      <c r="A30" s="25" t="inlineStr">
        <is>
          <t>Stressed NOI</t>
        </is>
      </c>
      <c r="B30" s="87">
        <f>IFERROR(B16-(Income_Statement!D5*(1+$B$5)^MAX(0,0)*$B$7),"—")</f>
        <v/>
      </c>
      <c r="C30" s="87">
        <f>IFERROR(C16-(Income_Statement!D5*(1+$B$5)^MAX(0,1)*$B$7),"—")</f>
        <v/>
      </c>
      <c r="D30" s="87">
        <f>IFERROR(D16-(Income_Statement!D5*(1+$B$5)^MAX(0,2)*$B$7),"—")</f>
        <v/>
      </c>
      <c r="E30" s="87">
        <f>IFERROR(E16-(Income_Statement!D5*(1+$B$5)^MAX(0,3)*$B$7),"—")</f>
        <v/>
      </c>
      <c r="F30" s="87">
        <f>IFERROR(F16-(Income_Statement!D5*(1+$B$5)^MAX(0,4)*$B$7),"—")</f>
        <v/>
      </c>
      <c r="G30" s="87">
        <f>IFERROR(G16-(Income_Statement!D5*(1+$B$5)^MAX(0,5)*$B$7),"—")</f>
        <v/>
      </c>
      <c r="H30" s="87">
        <f>IFERROR(H16-(Income_Statement!D5*(1+$B$5)^MAX(0,6)*$B$7),"—")</f>
        <v/>
      </c>
      <c r="I30" s="87">
        <f>IFERROR(I16-(Income_Statement!D5*(1+$B$5)^MAX(0,7)*$B$7),"—")</f>
        <v/>
      </c>
      <c r="J30" s="87">
        <f>IFERROR(J16-(Income_Statement!D5*(1+$B$5)^MAX(0,8)*$B$7),"—")</f>
        <v/>
      </c>
      <c r="K30" s="87">
        <f>IFERROR(K16-(Income_Statement!D5*(1+$B$5)^MAX(0,9)*$B$7),"—")</f>
        <v/>
      </c>
    </row>
    <row r="31" ht="15" customHeight="1">
      <c r="A31" s="25" t="inlineStr">
        <is>
          <t>DSCR (Stressed)</t>
        </is>
      </c>
      <c r="B31" s="36">
        <f>IFERROR(B30/B19,"—")</f>
        <v/>
      </c>
      <c r="C31" s="36">
        <f>IFERROR(C30/C19,"—")</f>
        <v/>
      </c>
      <c r="D31" s="36">
        <f>IFERROR(D30/D19,"—")</f>
        <v/>
      </c>
      <c r="E31" s="36">
        <f>IFERROR(E30/E19,"—")</f>
        <v/>
      </c>
      <c r="F31" s="36">
        <f>IFERROR(F30/F19,"—")</f>
        <v/>
      </c>
      <c r="G31" s="36">
        <f>IFERROR(G30/G19,"—")</f>
        <v/>
      </c>
      <c r="H31" s="36">
        <f>IFERROR(H30/H19,"—")</f>
        <v/>
      </c>
      <c r="I31" s="36">
        <f>IFERROR(I30/I19,"—")</f>
        <v/>
      </c>
      <c r="J31" s="36">
        <f>IFERROR(J30/J19,"—")</f>
        <v/>
      </c>
      <c r="K31" s="36">
        <f>IFERROR(K30/K19,"—")</f>
        <v/>
      </c>
    </row>
    <row r="32" ht="15" customHeight="1">
      <c r="A32" s="25" t="inlineStr">
        <is>
          <t>CFAT (Stressed)</t>
        </is>
      </c>
      <c r="B32" s="86">
        <f>B30-B19</f>
        <v/>
      </c>
      <c r="C32" s="86">
        <f>C30-C19</f>
        <v/>
      </c>
      <c r="D32" s="86">
        <f>D30-D19</f>
        <v/>
      </c>
      <c r="E32" s="86">
        <f>E30-E19</f>
        <v/>
      </c>
      <c r="F32" s="86">
        <f>F30-F19</f>
        <v/>
      </c>
      <c r="G32" s="86">
        <f>G30-G19</f>
        <v/>
      </c>
      <c r="H32" s="86">
        <f>H30-H19</f>
        <v/>
      </c>
      <c r="I32" s="86">
        <f>I30-I19</f>
        <v/>
      </c>
      <c r="J32" s="86">
        <f>J30-J19</f>
        <v/>
      </c>
      <c r="K32" s="86">
        <f>K30-K19</f>
        <v/>
      </c>
    </row>
    <row r="34" ht="18" customHeight="1">
      <c r="A34" s="2" t="inlineStr">
        <is>
          <t>Stress B — OpEx Inflation, per knob B8 (HYPOTHETICAL: insurance hike, tax reassessment)</t>
        </is>
      </c>
    </row>
    <row r="35" ht="39" customHeight="1">
      <c r="A35" s="32" t="inlineStr">
        <is>
          <t>OpEx escalates by the OpEx Inflation % in B8 (insurance hike, tax reassessment, maintenance surge). NOI loses OpEx × Inflation.</t>
        </is>
      </c>
    </row>
    <row r="36" ht="15" customHeight="1">
      <c r="A36" s="11" t="inlineStr">
        <is>
          <t>Year</t>
        </is>
      </c>
      <c r="B36" s="12" t="inlineStr">
        <is>
          <t>Y1</t>
        </is>
      </c>
      <c r="C36" s="12" t="inlineStr">
        <is>
          <t>Y2</t>
        </is>
      </c>
      <c r="D36" s="12" t="inlineStr">
        <is>
          <t>Y3</t>
        </is>
      </c>
      <c r="E36" s="12" t="inlineStr">
        <is>
          <t>Y4</t>
        </is>
      </c>
      <c r="F36" s="12" t="inlineStr">
        <is>
          <t>Y5</t>
        </is>
      </c>
      <c r="G36" s="12" t="inlineStr">
        <is>
          <t>Y6</t>
        </is>
      </c>
      <c r="H36" s="12" t="inlineStr">
        <is>
          <t>Y7</t>
        </is>
      </c>
      <c r="I36" s="12" t="inlineStr">
        <is>
          <t>Y8</t>
        </is>
      </c>
      <c r="J36" s="12" t="inlineStr">
        <is>
          <t>Y9</t>
        </is>
      </c>
      <c r="K36" s="12" t="inlineStr">
        <is>
          <t>Y10</t>
        </is>
      </c>
    </row>
    <row r="37" ht="15" customHeight="1">
      <c r="A37" s="25" t="inlineStr">
        <is>
          <t>Stressed NOI</t>
        </is>
      </c>
      <c r="B37" s="87">
        <f>IFERROR(B16-(Income_Statement!D17*(1+Assumptions!$B$50)^MAX(0,0)*$B$8),"—")</f>
        <v/>
      </c>
      <c r="C37" s="87">
        <f>IFERROR(C16-(Income_Statement!D17*(1+Assumptions!$B$50)^MAX(0,1)*$B$8),"—")</f>
        <v/>
      </c>
      <c r="D37" s="87">
        <f>IFERROR(D16-(Income_Statement!D17*(1+Assumptions!$B$50)^MAX(0,2)*$B$8),"—")</f>
        <v/>
      </c>
      <c r="E37" s="87">
        <f>IFERROR(E16-(Income_Statement!D17*(1+Assumptions!$B$50)^MAX(0,3)*$B$8),"—")</f>
        <v/>
      </c>
      <c r="F37" s="87">
        <f>IFERROR(F16-(Income_Statement!D17*(1+Assumptions!$B$50)^MAX(0,4)*$B$8),"—")</f>
        <v/>
      </c>
      <c r="G37" s="87">
        <f>IFERROR(G16-(Income_Statement!D17*(1+Assumptions!$B$50)^MAX(0,5)*$B$8),"—")</f>
        <v/>
      </c>
      <c r="H37" s="87">
        <f>IFERROR(H16-(Income_Statement!D17*(1+Assumptions!$B$50)^MAX(0,6)*$B$8),"—")</f>
        <v/>
      </c>
      <c r="I37" s="87">
        <f>IFERROR(I16-(Income_Statement!D17*(1+Assumptions!$B$50)^MAX(0,7)*$B$8),"—")</f>
        <v/>
      </c>
      <c r="J37" s="87">
        <f>IFERROR(J16-(Income_Statement!D17*(1+Assumptions!$B$50)^MAX(0,8)*$B$8),"—")</f>
        <v/>
      </c>
      <c r="K37" s="87">
        <f>IFERROR(K16-(Income_Statement!D17*(1+Assumptions!$B$50)^MAX(0,9)*$B$8),"—")</f>
        <v/>
      </c>
    </row>
    <row r="38" ht="15" customHeight="1">
      <c r="A38" s="25" t="inlineStr">
        <is>
          <t>DSCR (Stressed)</t>
        </is>
      </c>
      <c r="B38" s="36">
        <f>IFERROR(B37/B19,"—")</f>
        <v/>
      </c>
      <c r="C38" s="36">
        <f>IFERROR(C37/C19,"—")</f>
        <v/>
      </c>
      <c r="D38" s="36">
        <f>IFERROR(D37/D19,"—")</f>
        <v/>
      </c>
      <c r="E38" s="36">
        <f>IFERROR(E37/E19,"—")</f>
        <v/>
      </c>
      <c r="F38" s="36">
        <f>IFERROR(F37/F19,"—")</f>
        <v/>
      </c>
      <c r="G38" s="36">
        <f>IFERROR(G37/G19,"—")</f>
        <v/>
      </c>
      <c r="H38" s="36">
        <f>IFERROR(H37/H19,"—")</f>
        <v/>
      </c>
      <c r="I38" s="36">
        <f>IFERROR(I37/I19,"—")</f>
        <v/>
      </c>
      <c r="J38" s="36">
        <f>IFERROR(J37/J19,"—")</f>
        <v/>
      </c>
      <c r="K38" s="36">
        <f>IFERROR(K37/K19,"—")</f>
        <v/>
      </c>
    </row>
    <row r="39" ht="15" customHeight="1">
      <c r="A39" s="25" t="inlineStr">
        <is>
          <t>CFAT (Stressed)</t>
        </is>
      </c>
      <c r="B39" s="86">
        <f>B37-B19</f>
        <v/>
      </c>
      <c r="C39" s="86">
        <f>C37-C19</f>
        <v/>
      </c>
      <c r="D39" s="86">
        <f>D37-D19</f>
        <v/>
      </c>
      <c r="E39" s="86">
        <f>E37-E19</f>
        <v/>
      </c>
      <c r="F39" s="86">
        <f>F37-F19</f>
        <v/>
      </c>
      <c r="G39" s="86">
        <f>G37-G19</f>
        <v/>
      </c>
      <c r="H39" s="86">
        <f>H37-H19</f>
        <v/>
      </c>
      <c r="I39" s="86">
        <f>I37-I19</f>
        <v/>
      </c>
      <c r="J39" s="86">
        <f>J37-J19</f>
        <v/>
      </c>
      <c r="K39" s="86">
        <f>K37-K19</f>
        <v/>
      </c>
    </row>
    <row r="41" ht="18" customHeight="1">
      <c r="A41" s="2" t="inlineStr">
        <is>
          <t>Stress C — Refi Rate +100bps (HYPOTHETICAL: 8% vs base 7%)</t>
        </is>
      </c>
    </row>
    <row r="42" ht="26.25" customHeight="1">
      <c r="A42" s="32" t="inlineStr">
        <is>
          <t>Hold-period CFAT unchanged. Refi math gets harder. Max refi loan shrinks.</t>
        </is>
      </c>
    </row>
    <row r="43" ht="15" customHeight="1">
      <c r="A43" s="11" t="inlineStr">
        <is>
          <t>Year</t>
        </is>
      </c>
      <c r="B43" s="12" t="inlineStr">
        <is>
          <t>Y1</t>
        </is>
      </c>
      <c r="C43" s="12" t="inlineStr">
        <is>
          <t>Y2</t>
        </is>
      </c>
      <c r="D43" s="12" t="inlineStr">
        <is>
          <t>Y3</t>
        </is>
      </c>
      <c r="E43" s="12" t="inlineStr">
        <is>
          <t>Y4</t>
        </is>
      </c>
      <c r="F43" s="12" t="inlineStr">
        <is>
          <t>Y5</t>
        </is>
      </c>
      <c r="G43" s="12" t="inlineStr">
        <is>
          <t>Y6</t>
        </is>
      </c>
      <c r="H43" s="12" t="inlineStr">
        <is>
          <t>Y7</t>
        </is>
      </c>
      <c r="I43" s="12" t="inlineStr">
        <is>
          <t>Y8</t>
        </is>
      </c>
      <c r="J43" s="12" t="inlineStr">
        <is>
          <t>Y9</t>
        </is>
      </c>
      <c r="K43" s="12" t="inlineStr">
        <is>
          <t>Y10</t>
        </is>
      </c>
    </row>
    <row r="44" ht="15" customHeight="1">
      <c r="A44" s="32" t="inlineStr">
        <is>
          <t>NOI (Base)</t>
        </is>
      </c>
      <c r="B44" s="87">
        <f>B16</f>
        <v/>
      </c>
      <c r="C44" s="87">
        <f>C16</f>
        <v/>
      </c>
      <c r="D44" s="87">
        <f>D16</f>
        <v/>
      </c>
      <c r="E44" s="87">
        <f>E16</f>
        <v/>
      </c>
      <c r="F44" s="87">
        <f>F16</f>
        <v/>
      </c>
      <c r="G44" s="87">
        <f>G16</f>
        <v/>
      </c>
      <c r="H44" s="87">
        <f>H16</f>
        <v/>
      </c>
      <c r="I44" s="87">
        <f>I16</f>
        <v/>
      </c>
      <c r="J44" s="87">
        <f>J16</f>
        <v/>
      </c>
      <c r="K44" s="87">
        <f>K16</f>
        <v/>
      </c>
    </row>
    <row r="45" ht="15" customHeight="1">
      <c r="A45" s="32" t="inlineStr">
        <is>
          <t>Stressed Refi Rate</t>
        </is>
      </c>
      <c r="B45" s="93">
        <f>$B$11+$B$9</f>
        <v/>
      </c>
      <c r="C45" s="93">
        <f>$B$11+$B$9</f>
        <v/>
      </c>
      <c r="D45" s="93">
        <f>$B$11+$B$9</f>
        <v/>
      </c>
      <c r="E45" s="93">
        <f>$B$11+$B$9</f>
        <v/>
      </c>
      <c r="F45" s="93">
        <f>$B$11+$B$9</f>
        <v/>
      </c>
      <c r="G45" s="93">
        <f>$B$11+$B$9</f>
        <v/>
      </c>
      <c r="H45" s="93">
        <f>$B$11+$B$9</f>
        <v/>
      </c>
      <c r="I45" s="93">
        <f>$B$11+$B$9</f>
        <v/>
      </c>
      <c r="J45" s="93">
        <f>$B$11+$B$9</f>
        <v/>
      </c>
      <c r="K45" s="93">
        <f>$B$11+$B$9</f>
        <v/>
      </c>
    </row>
    <row r="46" ht="15" customHeight="1">
      <c r="A46" s="25" t="inlineStr">
        <is>
          <t>Max Refi Loan @ Stressed Rate</t>
        </is>
      </c>
      <c r="B46" s="86">
        <f>IFERROR(MIN((B16/$B$12)*Assumptions!$B$55,PV(($B$11+$B$9)/12,360,-B16/Assumptions!$B$57/12)),"—")</f>
        <v/>
      </c>
      <c r="C46" s="86">
        <f>IFERROR(MIN((C16/$B$12)*Assumptions!$B$55,PV(($B$11+$B$9)/12,360,-C16/Assumptions!$B$57/12)),"—")</f>
        <v/>
      </c>
      <c r="D46" s="86">
        <f>IFERROR(MIN((D16/$B$12)*Assumptions!$B$55,PV(($B$11+$B$9)/12,360,-D16/Assumptions!$B$57/12)),"—")</f>
        <v/>
      </c>
      <c r="E46" s="86">
        <f>IFERROR(MIN((E16/$B$12)*Assumptions!$B$55,PV(($B$11+$B$9)/12,360,-E16/Assumptions!$B$57/12)),"—")</f>
        <v/>
      </c>
      <c r="F46" s="86">
        <f>IFERROR(MIN((F16/$B$12)*Assumptions!$B$55,PV(($B$11+$B$9)/12,360,-F16/Assumptions!$B$57/12)),"—")</f>
        <v/>
      </c>
      <c r="G46" s="86">
        <f>IFERROR(MIN((G16/$B$12)*Assumptions!$B$55,PV(($B$11+$B$9)/12,360,-G16/Assumptions!$B$57/12)),"—")</f>
        <v/>
      </c>
      <c r="H46" s="86">
        <f>IFERROR(MIN((H16/$B$12)*Assumptions!$B$55,PV(($B$11+$B$9)/12,360,-H16/Assumptions!$B$57/12)),"—")</f>
        <v/>
      </c>
      <c r="I46" s="86">
        <f>IFERROR(MIN((I16/$B$12)*Assumptions!$B$55,PV(($B$11+$B$9)/12,360,-I16/Assumptions!$B$57/12)),"—")</f>
        <v/>
      </c>
      <c r="J46" s="86">
        <f>IFERROR(MIN((J16/$B$12)*Assumptions!$B$55,PV(($B$11+$B$9)/12,360,-J16/Assumptions!$B$57/12)),"—")</f>
        <v/>
      </c>
      <c r="K46" s="86">
        <f>IFERROR(MIN((K16/$B$12)*Assumptions!$B$55,PV(($B$11+$B$9)/12,360,-K16/Assumptions!$B$57/12)),"—")</f>
        <v/>
      </c>
    </row>
    <row r="48" ht="18" customHeight="1">
      <c r="A48" s="2" t="inlineStr">
        <is>
          <t>Stress D — Exit Cap +50bps (HYPOTHETICAL: 8.5% vs base 8%)</t>
        </is>
      </c>
    </row>
    <row r="49" ht="26.25" customHeight="1">
      <c r="A49" s="32" t="inlineStr">
        <is>
          <t>Cap rate widens at refi. Asset value compresses. LTV ceiling lowers.</t>
        </is>
      </c>
    </row>
    <row r="50" ht="15" customHeight="1">
      <c r="A50" s="11" t="inlineStr">
        <is>
          <t>Year</t>
        </is>
      </c>
      <c r="B50" s="12" t="inlineStr">
        <is>
          <t>Y1</t>
        </is>
      </c>
      <c r="C50" s="12" t="inlineStr">
        <is>
          <t>Y2</t>
        </is>
      </c>
      <c r="D50" s="12" t="inlineStr">
        <is>
          <t>Y3</t>
        </is>
      </c>
      <c r="E50" s="12" t="inlineStr">
        <is>
          <t>Y4</t>
        </is>
      </c>
      <c r="F50" s="12" t="inlineStr">
        <is>
          <t>Y5</t>
        </is>
      </c>
      <c r="G50" s="12" t="inlineStr">
        <is>
          <t>Y6</t>
        </is>
      </c>
      <c r="H50" s="12" t="inlineStr">
        <is>
          <t>Y7</t>
        </is>
      </c>
      <c r="I50" s="12" t="inlineStr">
        <is>
          <t>Y8</t>
        </is>
      </c>
      <c r="J50" s="12" t="inlineStr">
        <is>
          <t>Y9</t>
        </is>
      </c>
      <c r="K50" s="12" t="inlineStr">
        <is>
          <t>Y10</t>
        </is>
      </c>
    </row>
    <row r="51" ht="15" customHeight="1">
      <c r="A51" s="25" t="inlineStr">
        <is>
          <t>Asset Value @ Stressed Cap</t>
        </is>
      </c>
      <c r="B51" s="86">
        <f>IFERROR(B16/($B$12+$B$10),"—")</f>
        <v/>
      </c>
      <c r="C51" s="86">
        <f>IFERROR(C16/($B$12+$B$10),"—")</f>
        <v/>
      </c>
      <c r="D51" s="86">
        <f>IFERROR(D16/($B$12+$B$10),"—")</f>
        <v/>
      </c>
      <c r="E51" s="86">
        <f>IFERROR(E16/($B$12+$B$10),"—")</f>
        <v/>
      </c>
      <c r="F51" s="86">
        <f>IFERROR(F16/($B$12+$B$10),"—")</f>
        <v/>
      </c>
      <c r="G51" s="86">
        <f>IFERROR(G16/($B$12+$B$10),"—")</f>
        <v/>
      </c>
      <c r="H51" s="86">
        <f>IFERROR(H16/($B$12+$B$10),"—")</f>
        <v/>
      </c>
      <c r="I51" s="86">
        <f>IFERROR(I16/($B$12+$B$10),"—")</f>
        <v/>
      </c>
      <c r="J51" s="86">
        <f>IFERROR(J16/($B$12+$B$10),"—")</f>
        <v/>
      </c>
      <c r="K51" s="86">
        <f>IFERROR(K16/($B$12+$B$10),"—")</f>
        <v/>
      </c>
    </row>
    <row r="52" ht="15" customHeight="1">
      <c r="A52" s="15" t="inlineStr">
        <is>
          <t>Max Refi @ Stressed Cap</t>
        </is>
      </c>
      <c r="B52" s="87">
        <f>IFERROR(MIN(B51*Assumptions!$B$55,PV($B$11/12,360,-B16/Assumptions!$B$57/12)),"—")</f>
        <v/>
      </c>
      <c r="C52" s="87">
        <f>IFERROR(MIN(C51*Assumptions!$B$55,PV($B$11/12,360,-C16/Assumptions!$B$57/12)),"—")</f>
        <v/>
      </c>
      <c r="D52" s="87">
        <f>IFERROR(MIN(D51*Assumptions!$B$55,PV($B$11/12,360,-D16/Assumptions!$B$57/12)),"—")</f>
        <v/>
      </c>
      <c r="E52" s="87">
        <f>IFERROR(MIN(E51*Assumptions!$B$55,PV($B$11/12,360,-E16/Assumptions!$B$57/12)),"—")</f>
        <v/>
      </c>
      <c r="F52" s="87">
        <f>IFERROR(MIN(F51*Assumptions!$B$55,PV($B$11/12,360,-F16/Assumptions!$B$57/12)),"—")</f>
        <v/>
      </c>
      <c r="G52" s="87">
        <f>IFERROR(MIN(G51*Assumptions!$B$55,PV($B$11/12,360,-G16/Assumptions!$B$57/12)),"—")</f>
        <v/>
      </c>
      <c r="H52" s="87">
        <f>IFERROR(MIN(H51*Assumptions!$B$55,PV($B$11/12,360,-H16/Assumptions!$B$57/12)),"—")</f>
        <v/>
      </c>
      <c r="I52" s="87">
        <f>IFERROR(MIN(I51*Assumptions!$B$55,PV($B$11/12,360,-I16/Assumptions!$B$57/12)),"—")</f>
        <v/>
      </c>
      <c r="J52" s="87">
        <f>IFERROR(MIN(J51*Assumptions!$B$55,PV($B$11/12,360,-J16/Assumptions!$B$57/12)),"—")</f>
        <v/>
      </c>
      <c r="K52" s="87">
        <f>IFERROR(MIN(K51*Assumptions!$B$55,PV($B$11/12,360,-K16/Assumptions!$B$57/12)),"—")</f>
        <v/>
      </c>
    </row>
    <row r="54" ht="18" customHeight="1">
      <c r="A54" s="2" t="inlineStr">
        <is>
          <t>Stress E — COMBINED HYPOTHETICAL (all four stresses simultaneously)</t>
        </is>
      </c>
    </row>
    <row r="55" ht="39" customHeight="1">
      <c r="A55" s="32" t="inlineStr">
        <is>
          <t>Worst-case scenario: revenue down, costs up, refi market deteriorated. The 'survive a recession' test.</t>
        </is>
      </c>
    </row>
    <row r="56" ht="15" customHeight="1">
      <c r="A56" s="11" t="inlineStr">
        <is>
          <t>Year</t>
        </is>
      </c>
      <c r="B56" s="12" t="inlineStr">
        <is>
          <t>Y1</t>
        </is>
      </c>
      <c r="C56" s="12" t="inlineStr">
        <is>
          <t>Y2</t>
        </is>
      </c>
      <c r="D56" s="12" t="inlineStr">
        <is>
          <t>Y3</t>
        </is>
      </c>
      <c r="E56" s="12" t="inlineStr">
        <is>
          <t>Y4</t>
        </is>
      </c>
      <c r="F56" s="12" t="inlineStr">
        <is>
          <t>Y5</t>
        </is>
      </c>
      <c r="G56" s="12" t="inlineStr">
        <is>
          <t>Y6</t>
        </is>
      </c>
      <c r="H56" s="12" t="inlineStr">
        <is>
          <t>Y7</t>
        </is>
      </c>
      <c r="I56" s="12" t="inlineStr">
        <is>
          <t>Y8</t>
        </is>
      </c>
      <c r="J56" s="12" t="inlineStr">
        <is>
          <t>Y9</t>
        </is>
      </c>
      <c r="K56" s="12" t="inlineStr">
        <is>
          <t>Y10</t>
        </is>
      </c>
    </row>
    <row r="57" ht="15" customHeight="1">
      <c r="A57" s="25" t="inlineStr">
        <is>
          <t>Stressed NOI (Combined)</t>
        </is>
      </c>
      <c r="B57" s="87">
        <f>IFERROR(B16-(Income_Statement!D5*(1+$B$5)^MAX(0,0)*$B$7)-(Income_Statement!D17*(1+Assumptions!$B$50)^MAX(0,0)*$B$8),"—")</f>
        <v/>
      </c>
      <c r="C57" s="87">
        <f>IFERROR(C16-(Income_Statement!D5*(1+$B$5)^MAX(0,1)*$B$7)-(Income_Statement!D17*(1+Assumptions!$B$50)^MAX(0,1)*$B$8),"—")</f>
        <v/>
      </c>
      <c r="D57" s="87">
        <f>IFERROR(D16-(Income_Statement!D5*(1+$B$5)^MAX(0,2)*$B$7)-(Income_Statement!D17*(1+Assumptions!$B$50)^MAX(0,2)*$B$8),"—")</f>
        <v/>
      </c>
      <c r="E57" s="87">
        <f>IFERROR(E16-(Income_Statement!D5*(1+$B$5)^MAX(0,3)*$B$7)-(Income_Statement!D17*(1+Assumptions!$B$50)^MAX(0,3)*$B$8),"—")</f>
        <v/>
      </c>
      <c r="F57" s="87">
        <f>IFERROR(F16-(Income_Statement!D5*(1+$B$5)^MAX(0,4)*$B$7)-(Income_Statement!D17*(1+Assumptions!$B$50)^MAX(0,4)*$B$8),"—")</f>
        <v/>
      </c>
      <c r="G57" s="87">
        <f>IFERROR(G16-(Income_Statement!D5*(1+$B$5)^MAX(0,5)*$B$7)-(Income_Statement!D17*(1+Assumptions!$B$50)^MAX(0,5)*$B$8),"—")</f>
        <v/>
      </c>
      <c r="H57" s="87">
        <f>IFERROR(H16-(Income_Statement!D5*(1+$B$5)^MAX(0,6)*$B$7)-(Income_Statement!D17*(1+Assumptions!$B$50)^MAX(0,6)*$B$8),"—")</f>
        <v/>
      </c>
      <c r="I57" s="87">
        <f>IFERROR(I16-(Income_Statement!D5*(1+$B$5)^MAX(0,7)*$B$7)-(Income_Statement!D17*(1+Assumptions!$B$50)^MAX(0,7)*$B$8),"—")</f>
        <v/>
      </c>
      <c r="J57" s="87">
        <f>IFERROR(J16-(Income_Statement!D5*(1+$B$5)^MAX(0,8)*$B$7)-(Income_Statement!D17*(1+Assumptions!$B$50)^MAX(0,8)*$B$8),"—")</f>
        <v/>
      </c>
      <c r="K57" s="87">
        <f>IFERROR(K16-(Income_Statement!D5*(1+$B$5)^MAX(0,9)*$B$7)-(Income_Statement!D17*(1+Assumptions!$B$50)^MAX(0,9)*$B$8),"—")</f>
        <v/>
      </c>
    </row>
    <row r="58" ht="15" customHeight="1">
      <c r="A58" s="25" t="inlineStr">
        <is>
          <t>DSCR (Combined Stress)</t>
        </is>
      </c>
      <c r="B58" s="36">
        <f>IFERROR(B57/B19,"—")</f>
        <v/>
      </c>
      <c r="C58" s="36">
        <f>IFERROR(C57/C19,"—")</f>
        <v/>
      </c>
      <c r="D58" s="36">
        <f>IFERROR(D57/D19,"—")</f>
        <v/>
      </c>
      <c r="E58" s="36">
        <f>IFERROR(E57/E19,"—")</f>
        <v/>
      </c>
      <c r="F58" s="36">
        <f>IFERROR(F57/F19,"—")</f>
        <v/>
      </c>
      <c r="G58" s="36">
        <f>IFERROR(G57/G19,"—")</f>
        <v/>
      </c>
      <c r="H58" s="36">
        <f>IFERROR(H57/H19,"—")</f>
        <v/>
      </c>
      <c r="I58" s="36">
        <f>IFERROR(I57/I19,"—")</f>
        <v/>
      </c>
      <c r="J58" s="36">
        <f>IFERROR(J57/J19,"—")</f>
        <v/>
      </c>
      <c r="K58" s="36">
        <f>IFERROR(K57/K19,"—")</f>
        <v/>
      </c>
    </row>
    <row r="59" ht="15" customHeight="1">
      <c r="A59" s="25" t="inlineStr">
        <is>
          <t>CFAT (Combined Stress)</t>
        </is>
      </c>
      <c r="B59" s="86">
        <f>B57-B19</f>
        <v/>
      </c>
      <c r="C59" s="86">
        <f>C57-C19</f>
        <v/>
      </c>
      <c r="D59" s="86">
        <f>D57-D19</f>
        <v/>
      </c>
      <c r="E59" s="86">
        <f>E57-E19</f>
        <v/>
      </c>
      <c r="F59" s="86">
        <f>F57-F19</f>
        <v/>
      </c>
      <c r="G59" s="86">
        <f>G57-G19</f>
        <v/>
      </c>
      <c r="H59" s="86">
        <f>H57-H19</f>
        <v/>
      </c>
      <c r="I59" s="86">
        <f>I57-I19</f>
        <v/>
      </c>
      <c r="J59" s="86">
        <f>J57-J19</f>
        <v/>
      </c>
      <c r="K59" s="86">
        <f>K57-K19</f>
        <v/>
      </c>
    </row>
    <row r="60" ht="15" customHeight="1">
      <c r="A60" s="15" t="inlineStr">
        <is>
          <t>Asset Value @ Stressed Cap+NOI</t>
        </is>
      </c>
      <c r="B60" s="87">
        <f>IFERROR(B57/($B$12+$B$10),"—")</f>
        <v/>
      </c>
      <c r="C60" s="87">
        <f>IFERROR(C57/($B$12+$B$10),"—")</f>
        <v/>
      </c>
      <c r="D60" s="87">
        <f>IFERROR(D57/($B$12+$B$10),"—")</f>
        <v/>
      </c>
      <c r="E60" s="87">
        <f>IFERROR(E57/($B$12+$B$10),"—")</f>
        <v/>
      </c>
      <c r="F60" s="87">
        <f>IFERROR(F57/($B$12+$B$10),"—")</f>
        <v/>
      </c>
      <c r="G60" s="87">
        <f>IFERROR(G57/($B$12+$B$10),"—")</f>
        <v/>
      </c>
      <c r="H60" s="87">
        <f>IFERROR(H57/($B$12+$B$10),"—")</f>
        <v/>
      </c>
      <c r="I60" s="87">
        <f>IFERROR(I57/($B$12+$B$10),"—")</f>
        <v/>
      </c>
      <c r="J60" s="87">
        <f>IFERROR(J57/($B$12+$B$10),"—")</f>
        <v/>
      </c>
      <c r="K60" s="87">
        <f>IFERROR(K57/($B$12+$B$10),"—")</f>
        <v/>
      </c>
    </row>
    <row r="61" ht="15" customHeight="1">
      <c r="A61" s="25" t="inlineStr">
        <is>
          <t>Max Refi @ Combined Stress</t>
        </is>
      </c>
      <c r="B61" s="86">
        <f>IFERROR(MIN(B60*Assumptions!$B$55,PV(($B$11+$B$9)/12,360,-B57/Assumptions!$B$57/12)),"—")</f>
        <v/>
      </c>
      <c r="C61" s="86">
        <f>IFERROR(MIN(C60*Assumptions!$B$55,PV(($B$11+$B$9)/12,360,-C57/Assumptions!$B$57/12)),"—")</f>
        <v/>
      </c>
      <c r="D61" s="86">
        <f>IFERROR(MIN(D60*Assumptions!$B$55,PV(($B$11+$B$9)/12,360,-D57/Assumptions!$B$57/12)),"—")</f>
        <v/>
      </c>
      <c r="E61" s="86">
        <f>IFERROR(MIN(E60*Assumptions!$B$55,PV(($B$11+$B$9)/12,360,-E57/Assumptions!$B$57/12)),"—")</f>
        <v/>
      </c>
      <c r="F61" s="86">
        <f>IFERROR(MIN(F60*Assumptions!$B$55,PV(($B$11+$B$9)/12,360,-F57/Assumptions!$B$57/12)),"—")</f>
        <v/>
      </c>
      <c r="G61" s="86">
        <f>IFERROR(MIN(G60*Assumptions!$B$55,PV(($B$11+$B$9)/12,360,-G57/Assumptions!$B$57/12)),"—")</f>
        <v/>
      </c>
      <c r="H61" s="86">
        <f>IFERROR(MIN(H60*Assumptions!$B$55,PV(($B$11+$B$9)/12,360,-H57/Assumptions!$B$57/12)),"—")</f>
        <v/>
      </c>
      <c r="I61" s="86">
        <f>IFERROR(MIN(I60*Assumptions!$B$55,PV(($B$11+$B$9)/12,360,-I57/Assumptions!$B$57/12)),"—")</f>
        <v/>
      </c>
      <c r="J61" s="86">
        <f>IFERROR(MIN(J60*Assumptions!$B$55,PV(($B$11+$B$9)/12,360,-J57/Assumptions!$B$57/12)),"—")</f>
        <v/>
      </c>
      <c r="K61" s="86">
        <f>IFERROR(MIN(K60*Assumptions!$B$55,PV(($B$11+$B$9)/12,360,-K57/Assumptions!$B$57/12)),"—")</f>
        <v/>
      </c>
    </row>
    <row r="64" ht="21.75" customHeight="1">
      <c r="A64" s="2" t="inlineStr">
        <is>
          <t>Section 3 — Stress Summary @ Balloon Year (HYPOTHETICAL — internal underwriting only)</t>
        </is>
      </c>
    </row>
    <row r="65" ht="30" customHeight="1">
      <c r="A65" s="11" t="inlineStr">
        <is>
          <t>STRESS TESTS — measured at the balloon year (capped at Y10, the end of this projection)</t>
        </is>
      </c>
      <c r="B65" s="12" t="inlineStr">
        <is>
          <t>NOI @ Balloon</t>
        </is>
      </c>
      <c r="C65" s="12" t="inlineStr">
        <is>
          <t>Asset @ Balloon</t>
        </is>
      </c>
      <c r="D65" s="12" t="inlineStr">
        <is>
          <t>Stack @ Balloon</t>
        </is>
      </c>
      <c r="E65" s="12" t="inlineStr">
        <is>
          <t>Max Refi</t>
        </is>
      </c>
      <c r="F65" s="12" t="inlineStr">
        <is>
          <t>Refi Gap</t>
        </is>
      </c>
      <c r="G65" s="12" t="inlineStr">
        <is>
          <t>DSCR @ Balloon</t>
        </is>
      </c>
      <c r="H65" s="12" t="inlineStr">
        <is>
          <t>CFAT @ Balloon</t>
        </is>
      </c>
      <c r="I65" s="12" t="inlineStr">
        <is>
          <t>Verdict</t>
        </is>
      </c>
    </row>
    <row r="66" ht="15" customHeight="1">
      <c r="A66" s="25" t="inlineStr">
        <is>
          <t>BASE CASE</t>
        </is>
      </c>
      <c r="B66" s="87">
        <f>IFERROR(INDEX(B16:K16,MIN(Scenarios!$B$30,10)),"—")</f>
        <v/>
      </c>
      <c r="C66" s="87">
        <f>IFERROR(B66/$B$12,"—")</f>
        <v/>
      </c>
      <c r="D66" s="87">
        <f>Scenarios!$D$65</f>
        <v/>
      </c>
      <c r="E66" s="87">
        <f>IFERROR(MIN(C66*Assumptions!$B$55,PV($B$11/12,360,-B66/Assumptions!$B$57/12)),"—")</f>
        <v/>
      </c>
      <c r="F66" s="86">
        <f>IFERROR(D66-E66,"—")</f>
        <v/>
      </c>
      <c r="G66" s="36">
        <f>IFERROR(B66/INDEX(B19:K19,MIN(Scenarios!$B$30,10)),"—")</f>
        <v/>
      </c>
      <c r="H66" s="86">
        <f>IFERROR(B66-INDEX(B19:K19,MIN(Scenarios!$B$30,10)),"—")</f>
        <v/>
      </c>
      <c r="I66" s="70">
        <f>IFERROR(IF(AND(F66&lt;=0,G66&gt;=Assumptions!$B$57,H66&gt;0),"PASS","FAIL"),"—")</f>
        <v/>
      </c>
    </row>
    <row r="67" ht="15" customHeight="1">
      <c r="A67" s="25" t="inlineStr">
        <is>
          <t>Stress A: Rent Haircut (B7)</t>
        </is>
      </c>
      <c r="B67" s="87">
        <f>IFERROR(INDEX(B30:K30,MIN(Scenarios!$B$30,10)),"—")</f>
        <v/>
      </c>
      <c r="C67" s="87">
        <f>IFERROR(B67/$B$12,"—")</f>
        <v/>
      </c>
      <c r="D67" s="87">
        <f>Scenarios!$D$65</f>
        <v/>
      </c>
      <c r="E67" s="87">
        <f>IFERROR(MIN(C67*Assumptions!$B$55,PV($B$11/12,360,-B67/Assumptions!$B$57/12)),"—")</f>
        <v/>
      </c>
      <c r="F67" s="86">
        <f>IFERROR(D67-E67,"—")</f>
        <v/>
      </c>
      <c r="G67" s="36">
        <f>IFERROR(B67/INDEX(B19:K19,MIN(Scenarios!$B$30,10)),"—")</f>
        <v/>
      </c>
      <c r="H67" s="86">
        <f>IFERROR(B67-INDEX(B19:K19,MIN(Scenarios!$B$30,10)),"—")</f>
        <v/>
      </c>
      <c r="I67" s="70">
        <f>IFERROR(IF(AND(F67&lt;=0,G67&gt;=Assumptions!$B$57,H67&gt;0),"PASS","FAIL"),"—")</f>
        <v/>
      </c>
    </row>
    <row r="68" ht="15" customHeight="1">
      <c r="A68" s="25" t="inlineStr">
        <is>
          <t>Stress B: OpEx Inflation (B8)</t>
        </is>
      </c>
      <c r="B68" s="87">
        <f>IFERROR(INDEX(B37:K37,MIN(Scenarios!$B$30,10)),"—")</f>
        <v/>
      </c>
      <c r="C68" s="87">
        <f>IFERROR(B68/$B$12,"—")</f>
        <v/>
      </c>
      <c r="D68" s="87">
        <f>Scenarios!$D$65</f>
        <v/>
      </c>
      <c r="E68" s="87">
        <f>IFERROR(MIN(C68*Assumptions!$B$55,PV($B$11/12,360,-B68/Assumptions!$B$57/12)),"—")</f>
        <v/>
      </c>
      <c r="F68" s="86">
        <f>IFERROR(D68-E68,"—")</f>
        <v/>
      </c>
      <c r="G68" s="36">
        <f>IFERROR(B68/INDEX(B19:K19,MIN(Scenarios!$B$30,10)),"—")</f>
        <v/>
      </c>
      <c r="H68" s="86">
        <f>IFERROR(B68-INDEX(B19:K19,MIN(Scenarios!$B$30,10)),"—")</f>
        <v/>
      </c>
      <c r="I68" s="70">
        <f>IFERROR(IF(AND(F68&lt;=0,G68&gt;=Assumptions!$B$57,H68&gt;0),"PASS","FAIL"),"—")</f>
        <v/>
      </c>
    </row>
    <row r="69" ht="15" customHeight="1">
      <c r="A69" s="25" t="inlineStr">
        <is>
          <t>Stress C: Refi Rate +100bps</t>
        </is>
      </c>
      <c r="B69" s="87">
        <f>IFERROR(INDEX(B16:K16,MIN(Scenarios!$B$30,10)),"—")</f>
        <v/>
      </c>
      <c r="C69" s="87">
        <f>IFERROR(B69/$B$12,"—")</f>
        <v/>
      </c>
      <c r="D69" s="87">
        <f>Scenarios!$D$65</f>
        <v/>
      </c>
      <c r="E69" s="87">
        <f>IFERROR(MIN(C69*Assumptions!$B$55,PV(($B$11+$B$9)/12,360,-B69/Assumptions!$B$57/12)),"—")</f>
        <v/>
      </c>
      <c r="F69" s="86">
        <f>IFERROR(D69-E69,"—")</f>
        <v/>
      </c>
      <c r="G69" s="36">
        <f>IFERROR(B69/INDEX(B19:K19,MIN(Scenarios!$B$30,10)),"—")</f>
        <v/>
      </c>
      <c r="H69" s="86">
        <f>IFERROR(B69-INDEX(B19:K19,MIN(Scenarios!$B$30,10)),"—")</f>
        <v/>
      </c>
      <c r="I69" s="70">
        <f>IFERROR(IF(AND(F69&lt;=0,G69&gt;=Assumptions!$B$57,H69&gt;0),"PASS","FAIL"),"—")</f>
        <v/>
      </c>
    </row>
    <row r="70" ht="15" customHeight="1">
      <c r="A70" s="25" t="inlineStr">
        <is>
          <t>Stress D: Exit Cap +50bps</t>
        </is>
      </c>
      <c r="B70" s="87">
        <f>IFERROR(INDEX(B16:K16,MIN(Scenarios!$B$30,10)),"—")</f>
        <v/>
      </c>
      <c r="C70" s="87">
        <f>IFERROR(B70/($B$12+$B$10),"—")</f>
        <v/>
      </c>
      <c r="D70" s="87">
        <f>Scenarios!$D$65</f>
        <v/>
      </c>
      <c r="E70" s="87">
        <f>IFERROR(MIN(C70*Assumptions!$B$55,PV($B$11/12,360,-B70/Assumptions!$B$57/12)),"—")</f>
        <v/>
      </c>
      <c r="F70" s="86">
        <f>IFERROR(D70-E70,"—")</f>
        <v/>
      </c>
      <c r="G70" s="36">
        <f>IFERROR(B70/INDEX(B19:K19,MIN(Scenarios!$B$30,10)),"—")</f>
        <v/>
      </c>
      <c r="H70" s="86">
        <f>IFERROR(B70-INDEX(B19:K19,MIN(Scenarios!$B$30,10)),"—")</f>
        <v/>
      </c>
      <c r="I70" s="70">
        <f>IFERROR(IF(AND(F70&lt;=0,G70&gt;=Assumptions!$B$57,H70&gt;0),"PASS","FAIL"),"—")</f>
        <v/>
      </c>
    </row>
    <row r="71" ht="15" customHeight="1">
      <c r="A71" s="25" t="inlineStr">
        <is>
          <t>Stress E: COMBINED BAD CASE</t>
        </is>
      </c>
      <c r="B71" s="87">
        <f>IFERROR(INDEX(B57:K57,MIN(Scenarios!$B$30,10)),"—")</f>
        <v/>
      </c>
      <c r="C71" s="87">
        <f>IFERROR(B71/($B$12+$B$10),"—")</f>
        <v/>
      </c>
      <c r="D71" s="87">
        <f>Scenarios!$D$65</f>
        <v/>
      </c>
      <c r="E71" s="87">
        <f>IFERROR(MIN(C71*Assumptions!$B$55,PV(($B$11+$B$9)/12,360,-B71/Assumptions!$B$57/12)),"—")</f>
        <v/>
      </c>
      <c r="F71" s="86">
        <f>IFERROR(D71-E71,"—")</f>
        <v/>
      </c>
      <c r="G71" s="36">
        <f>IFERROR(B71/INDEX(B19:K19,MIN(Scenarios!$B$30,10)),"—")</f>
        <v/>
      </c>
      <c r="H71" s="86">
        <f>IFERROR(B71-INDEX(B19:K19,MIN(Scenarios!$B$30,10)),"—")</f>
        <v/>
      </c>
      <c r="I71" s="70">
        <f>IFERROR(IF(AND(F71&lt;=0,G71&gt;=Assumptions!$B$57,H71&gt;0),"PASS","FAIL"),"—")</f>
        <v/>
      </c>
    </row>
    <row r="74" ht="15" customHeight="1">
      <c r="A74" s="8" t="inlineStr">
        <is>
          <t>HOW TO READ THIS STRESS TEST</t>
        </is>
      </c>
    </row>
    <row r="75" ht="15" customHeight="1">
      <c r="A75" s="50" t="inlineStr">
        <is>
          <t>WHAT IT DOES: tests the NUMBERS under five adverse scenarios to see what breaks an all-green underwriting.</t>
        </is>
      </c>
    </row>
    <row r="76" ht="15" customHeight="1">
      <c r="A76" s="50" t="inlineStr">
        <is>
          <t>BASE CASE: your current Scenarios tab structure. Reference for comparison.</t>
        </is>
      </c>
    </row>
    <row r="77" ht="15" customHeight="1">
      <c r="A77" s="50" t="inlineStr">
        <is>
          <t>STRESS A — Rent Haircut (B7): real-world hit if 1-2 units go vacant for extended periods or market rents soften.</t>
        </is>
      </c>
    </row>
    <row r="78" ht="15" customHeight="1">
      <c r="A78" s="50" t="inlineStr">
        <is>
          <t>STRESS B — OpEx Inflation (B8): insurance hard market, property tax reassessment after sale, deferred maintenance catch-up.</t>
        </is>
      </c>
    </row>
    <row r="79" ht="15" customHeight="1">
      <c r="A79" s="50" t="inlineStr">
        <is>
          <t>STRESS C — Refi Rate +100bps: If rates move against you between now and balloon year. Tests refi feasibility only.</t>
        </is>
      </c>
    </row>
    <row r="80" ht="15" customHeight="1">
      <c r="A80" s="50" t="inlineStr">
        <is>
          <t>STRESS D — Exit Cap +50bps: Cap rate widening at exit (rates higher, less buyer demand). Compresses asset value.</t>
        </is>
      </c>
    </row>
    <row r="81" ht="15" customHeight="1">
      <c r="A81" s="50" t="inlineStr">
        <is>
          <t>STRESS E — COMBINED: all four hit at once. The recession plus bad-refi-market test. Passing means the numbers hold under pressure. It does not mean the deal will work.</t>
        </is>
      </c>
    </row>
    <row r="82" ht="15" customHeight="1">
      <c r="A82" s="50" t="inlineStr">
        <is>
          <t>WHAT IT DOES NOT TEST: the operator. Most deals that fail do not fail on the spreadsheet — they fail on execution. Bad property management, a contractor who walks, a rehab that runs 40% over, tenants who do not pay, a partner who quits, a lender who re-trades at the table, or an owner stretched across too many projects. None of that is in these numbers. A deal that passes every stress test above can still lose money in the hands of the wrong operator, or the right operator on the wrong week. Underwrite the numbers here; underwrite yourself and your team separately, and honestly.</t>
        </is>
      </c>
    </row>
    <row r="83" ht="15" customHeight="1">
      <c r="A83" s="50" t="inlineStr">
        <is>
          <t>CONDITIONAL FORMATTING:</t>
        </is>
      </c>
    </row>
    <row r="84" ht="15" customHeight="1">
      <c r="A84" s="50" t="inlineStr">
        <is>
          <t xml:space="preserve">  DSCR cells: GREEN ≥ 1.25x | LIGHT GREEN 1.10-1.25x | RED &lt; 1.10x</t>
        </is>
      </c>
    </row>
    <row r="85" ht="15" customHeight="1">
      <c r="A85" s="50" t="inlineStr">
        <is>
          <t xml:space="preserve">  CFAT cells: GREEN positive | RED negative</t>
        </is>
      </c>
    </row>
    <row r="86" ht="15" customHeight="1">
      <c r="A86" s="50" t="inlineStr">
        <is>
          <t xml:space="preserve">  Refi Gap: GREEN ≤ $0 (cash-out) | RED &gt; $0 (shortfall)</t>
        </is>
      </c>
    </row>
    <row r="87" ht="15" customHeight="1">
      <c r="A87" s="50" t="inlineStr">
        <is>
          <t xml:space="preserve">  Verdict: GREEN = passes all 3 tests at balloon | RED = fails one or more</t>
        </is>
      </c>
    </row>
    <row r="88" ht="15" customHeight="1">
      <c r="A88" s="50" t="n"/>
    </row>
    <row r="89" ht="15" customHeight="1">
      <c r="A89" s="50" t="inlineStr">
        <is>
          <t>INPUT KNOBS (rows 5-12): Change yellow cells to flex stress severity. EVERY stress test, including the COMBINED test, reads these cells — no stress percentage is typed inside a formula. Defaults: 5% rent haircut, 8% OpEx inflation, 100bps refi premium, 50bps cap widening.</t>
        </is>
      </c>
    </row>
  </sheetData>
  <mergeCells count="28">
    <mergeCell ref="A78:L78"/>
    <mergeCell ref="A54:L54"/>
    <mergeCell ref="A25:L25"/>
    <mergeCell ref="A41:L41"/>
    <mergeCell ref="A75:L75"/>
    <mergeCell ref="A84:L84"/>
    <mergeCell ref="A89:L89"/>
    <mergeCell ref="A80:L80"/>
    <mergeCell ref="A74:L74"/>
    <mergeCell ref="A27:L27"/>
    <mergeCell ref="A2:L2"/>
    <mergeCell ref="A86:L86"/>
    <mergeCell ref="A76:L76"/>
    <mergeCell ref="A85:L85"/>
    <mergeCell ref="A14:L14"/>
    <mergeCell ref="A4:L4"/>
    <mergeCell ref="A81:L81"/>
    <mergeCell ref="A77:L77"/>
    <mergeCell ref="A83:L83"/>
    <mergeCell ref="A34:L34"/>
    <mergeCell ref="A48:L48"/>
    <mergeCell ref="A24:L24"/>
    <mergeCell ref="A64:L64"/>
    <mergeCell ref="A82:L82"/>
    <mergeCell ref="A1:L1"/>
    <mergeCell ref="A88:L88"/>
    <mergeCell ref="A79:L79"/>
    <mergeCell ref="A87:L87"/>
  </mergeCells>
  <conditionalFormatting sqref="B20:K20">
    <cfRule type="cellIs" priority="2" operator="greaterThanOrEqual" dxfId="2">
      <formula>1.25</formula>
    </cfRule>
    <cfRule type="cellIs" priority="3" operator="between" dxfId="3">
      <formula>1.1</formula>
      <formula>1.249</formula>
    </cfRule>
    <cfRule type="cellIs" priority="4" operator="lessThan" dxfId="0">
      <formula>1.1</formula>
    </cfRule>
  </conditionalFormatting>
  <conditionalFormatting sqref="B21:K21">
    <cfRule type="cellIs" priority="5" operator="greaterThan" dxfId="3">
      <formula>0</formula>
    </cfRule>
    <cfRule type="cellIs" priority="6" operator="lessThanOrEqual" dxfId="0">
      <formula>0</formula>
    </cfRule>
  </conditionalFormatting>
  <conditionalFormatting sqref="B31:K31">
    <cfRule type="cellIs" priority="7" operator="greaterThanOrEqual" dxfId="2">
      <formula>1.25</formula>
    </cfRule>
    <cfRule type="cellIs" priority="8" operator="between" dxfId="3">
      <formula>1.1</formula>
      <formula>1.249</formula>
    </cfRule>
    <cfRule type="cellIs" priority="9" operator="lessThan" dxfId="0">
      <formula>1.1</formula>
    </cfRule>
  </conditionalFormatting>
  <conditionalFormatting sqref="B32:K32">
    <cfRule type="cellIs" priority="10" operator="greaterThan" dxfId="3">
      <formula>0</formula>
    </cfRule>
    <cfRule type="cellIs" priority="11" operator="lessThanOrEqual" dxfId="0">
      <formula>0</formula>
    </cfRule>
  </conditionalFormatting>
  <conditionalFormatting sqref="B38:K38">
    <cfRule type="cellIs" priority="12" operator="greaterThanOrEqual" dxfId="2">
      <formula>1.25</formula>
    </cfRule>
    <cfRule type="cellIs" priority="13" operator="between" dxfId="3">
      <formula>1.1</formula>
      <formula>1.249</formula>
    </cfRule>
    <cfRule type="cellIs" priority="14" operator="lessThan" dxfId="0">
      <formula>1.1</formula>
    </cfRule>
  </conditionalFormatting>
  <conditionalFormatting sqref="B39:K39">
    <cfRule type="cellIs" priority="15" operator="greaterThan" dxfId="3">
      <formula>0</formula>
    </cfRule>
    <cfRule type="cellIs" priority="16" operator="lessThanOrEqual" dxfId="0">
      <formula>0</formula>
    </cfRule>
  </conditionalFormatting>
  <conditionalFormatting sqref="B58:K58">
    <cfRule type="cellIs" priority="17" operator="greaterThanOrEqual" dxfId="2">
      <formula>1.25</formula>
    </cfRule>
    <cfRule type="cellIs" priority="18" operator="between" dxfId="3">
      <formula>1.1</formula>
      <formula>1.249</formula>
    </cfRule>
    <cfRule type="cellIs" priority="19" operator="lessThan" dxfId="0">
      <formula>1.1</formula>
    </cfRule>
  </conditionalFormatting>
  <conditionalFormatting sqref="B59:K59">
    <cfRule type="cellIs" priority="20" operator="greaterThan" dxfId="3">
      <formula>0</formula>
    </cfRule>
    <cfRule type="cellIs" priority="21" operator="lessThanOrEqual" dxfId="0">
      <formula>0</formula>
    </cfRule>
  </conditionalFormatting>
  <conditionalFormatting sqref="F66:F71">
    <cfRule type="cellIs" priority="24" operator="lessThanOrEqual" dxfId="2">
      <formula>0</formula>
    </cfRule>
    <cfRule type="cellIs" priority="25" operator="greaterThan" dxfId="0">
      <formula>0</formula>
    </cfRule>
  </conditionalFormatting>
  <conditionalFormatting sqref="G66:G71">
    <cfRule type="cellIs" priority="26" operator="greaterThanOrEqual" dxfId="2">
      <formula>1.25</formula>
    </cfRule>
    <cfRule type="cellIs" priority="27" operator="between" dxfId="3">
      <formula>1.1</formula>
      <formula>1.249</formula>
    </cfRule>
    <cfRule type="cellIs" priority="28" operator="lessThan" dxfId="0">
      <formula>1.1</formula>
    </cfRule>
  </conditionalFormatting>
  <conditionalFormatting sqref="H66:H71">
    <cfRule type="cellIs" priority="29" operator="greaterThan" dxfId="3">
      <formula>0</formula>
    </cfRule>
    <cfRule type="cellIs" priority="30" operator="lessThanOrEqual" dxfId="0">
      <formula>0</formula>
    </cfRule>
  </conditionalFormatting>
  <conditionalFormatting sqref="I66:I71">
    <cfRule type="cellIs" priority="22" operator="equal" dxfId="2">
      <formula>"PASS"</formula>
    </cfRule>
    <cfRule type="cellIs" priority="23" operator="equal" dxfId="0">
      <formula>"FAIL"</formula>
    </cfRule>
  </conditionalFormatting>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L150"/>
  <sheetViews>
    <sheetView topLeftCell="A10" zoomScaleNormal="100" workbookViewId="0">
      <selection activeCell="A1" sqref="A1:L1"/>
    </sheetView>
  </sheetViews>
  <sheetFormatPr baseColWidth="8" defaultColWidth="8.7109375" defaultRowHeight="15"/>
  <cols>
    <col width="8" customWidth="1" min="1" max="1"/>
    <col width="14" customWidth="1" min="2" max="12"/>
  </cols>
  <sheetData>
    <row r="1" ht="30" customHeight="1">
      <c r="A1" s="10" t="inlineStr">
        <is>
          <t>ZOXIRO — DSCR LOAN HEALTH &amp; REFI TIMELINE (15-Year Horizon)</t>
        </is>
      </c>
    </row>
    <row r="2" ht="21.75" customHeight="1">
      <c r="A2" s="12" t="inlineStr">
        <is>
          <t>Year-by-year refi feasibility through Y15 | Tells you exactly WHEN you can refi cleanly | Pulls from Scenarios tab</t>
        </is>
      </c>
    </row>
    <row r="4" ht="21.75" customHeight="1">
      <c r="A4" s="8" t="inlineStr">
        <is>
          <t>STRESS KNOBS  (pulls from Cash_Flow_10yr inputs)</t>
        </is>
      </c>
    </row>
    <row r="5" ht="42.75" customHeight="1">
      <c r="A5" s="15" t="inlineStr">
        <is>
          <t>Rent Haircut %</t>
        </is>
      </c>
      <c r="B5" s="107">
        <f>Cash_Flow_10yr!B7</f>
        <v/>
      </c>
    </row>
    <row r="6" ht="42.75" customHeight="1">
      <c r="A6" s="15" t="inlineStr">
        <is>
          <t>OpEx Inflation %</t>
        </is>
      </c>
      <c r="B6" s="107">
        <f>Cash_Flow_10yr!B8</f>
        <v/>
      </c>
    </row>
    <row r="7" ht="57" customHeight="1">
      <c r="A7" s="15" t="inlineStr">
        <is>
          <t>Refi Rate Add-On</t>
        </is>
      </c>
      <c r="B7" s="107">
        <f>Cash_Flow_10yr!B9</f>
        <v/>
      </c>
    </row>
    <row r="8" ht="57" customHeight="1">
      <c r="A8" s="15" t="inlineStr">
        <is>
          <t>Exit Cap Add-On</t>
        </is>
      </c>
      <c r="B8" s="107">
        <f>Cash_Flow_10yr!B10</f>
        <v/>
      </c>
    </row>
    <row r="9" ht="42.75" customHeight="1">
      <c r="A9" s="15" t="inlineStr">
        <is>
          <t>Base Refi Rate</t>
        </is>
      </c>
      <c r="B9" s="107">
        <f>Cash_Flow_10yr!B11</f>
        <v/>
      </c>
    </row>
    <row r="10" ht="42.75" customHeight="1">
      <c r="A10" s="15" t="inlineStr">
        <is>
          <t>Base Exit Cap</t>
        </is>
      </c>
      <c r="B10" s="107">
        <f>Cash_Flow_10yr!B12</f>
        <v/>
      </c>
    </row>
    <row r="12" ht="21.75" customHeight="1">
      <c r="A12" s="8" t="inlineStr">
        <is>
          <t>SECTION 1 — BASE CASE  (current Scenarios tab structure)</t>
        </is>
      </c>
    </row>
    <row r="13" ht="27.75" customHeight="1">
      <c r="A13" s="40" t="inlineStr">
        <is>
          <t>Year</t>
        </is>
      </c>
      <c r="B13" s="40" t="inlineStr">
        <is>
          <t>NOI</t>
        </is>
      </c>
      <c r="C13" s="40" t="inlineStr">
        <is>
          <t>Senior Bal</t>
        </is>
      </c>
      <c r="D13" s="40" t="inlineStr">
        <is>
          <t>Carry Bal</t>
        </is>
      </c>
      <c r="E13" s="40" t="inlineStr">
        <is>
          <t>Stack</t>
        </is>
      </c>
      <c r="F13" s="40" t="inlineStr">
        <is>
          <t>Asset Value</t>
        </is>
      </c>
      <c r="G13" s="40" t="inlineStr">
        <is>
          <t>Max Refi (LTV)</t>
        </is>
      </c>
      <c r="H13" s="40" t="inlineStr">
        <is>
          <t>Max Refi (DSCR)</t>
        </is>
      </c>
      <c r="I13" s="40" t="inlineStr">
        <is>
          <t>Max Refi</t>
        </is>
      </c>
      <c r="J13" s="40" t="inlineStr">
        <is>
          <t>Refi Gap</t>
        </is>
      </c>
      <c r="K13" s="40" t="inlineStr">
        <is>
          <t>Cash-Out</t>
        </is>
      </c>
      <c r="L13" s="40" t="inlineStr">
        <is>
          <t>OK TO REFI?</t>
        </is>
      </c>
    </row>
    <row r="14">
      <c r="A14" s="71" t="inlineStr">
        <is>
          <t>Y1</t>
        </is>
      </c>
      <c r="B14" s="87">
        <f>Scenarios!D11</f>
        <v/>
      </c>
      <c r="C14" s="87">
        <f>IFERROR(Scenarios!D18*((1+Scenarios!D19/12)^(Scenarios!D20*12)-(1+Scenarios!D19/12)^(1*12))/((1+Scenarios!D19/12)^(Scenarios!D20*12)-1),"—")</f>
        <v/>
      </c>
      <c r="D14" s="87">
        <f>Scenarios!D27*(1+Scenarios!D28)^1</f>
        <v/>
      </c>
      <c r="E14" s="87">
        <f>C14+D14</f>
        <v/>
      </c>
      <c r="F14" s="87">
        <f>IFERROR(B14/$B$10,"—")</f>
        <v/>
      </c>
      <c r="G14" s="87">
        <f>F14*Assumptions!$B$55</f>
        <v/>
      </c>
      <c r="H14" s="87">
        <f>IFERROR(PV($B$9/12,360,-B14/Assumptions!$B$57/12),"—")</f>
        <v/>
      </c>
      <c r="I14" s="87">
        <f>IFERROR(MIN(G14,H14),"—")</f>
        <v/>
      </c>
      <c r="J14" s="86">
        <f>E14-I14</f>
        <v/>
      </c>
      <c r="K14" s="87">
        <f>IFERROR(MAX(0,-J14),"—")</f>
        <v/>
      </c>
      <c r="L14" s="43">
        <f>IF(J14&lt;=0,"WAIT","NO")</f>
        <v/>
      </c>
    </row>
    <row r="15">
      <c r="A15" s="71" t="inlineStr">
        <is>
          <t>Y2</t>
        </is>
      </c>
      <c r="B15" s="87">
        <f>IFERROR((Scenarios!D11+Scenarios!D12)/2,"—")</f>
        <v/>
      </c>
      <c r="C15" s="87">
        <f>IFERROR(Scenarios!D18*((1+Scenarios!D19/12)^(Scenarios!D20*12)-(1+Scenarios!D19/12)^(2*12))/((1+Scenarios!D19/12)^(Scenarios!D20*12)-1),"—")</f>
        <v/>
      </c>
      <c r="D15" s="87">
        <f>Scenarios!D27*(1+Scenarios!D28)^2</f>
        <v/>
      </c>
      <c r="E15" s="87">
        <f>C15+D15</f>
        <v/>
      </c>
      <c r="F15" s="87">
        <f>IFERROR(B15/$B$10,"—")</f>
        <v/>
      </c>
      <c r="G15" s="87">
        <f>F15*Assumptions!$B$55</f>
        <v/>
      </c>
      <c r="H15" s="87">
        <f>IFERROR(PV($B$9/12,360,-B15/Assumptions!$B$57/12),"—")</f>
        <v/>
      </c>
      <c r="I15" s="87">
        <f>IFERROR(MIN(G15,H15),"—")</f>
        <v/>
      </c>
      <c r="J15" s="86">
        <f>E15-I15</f>
        <v/>
      </c>
      <c r="K15" s="87">
        <f>IFERROR(MAX(0,-J15),"—")</f>
        <v/>
      </c>
      <c r="L15" s="43">
        <f>IF(J15&lt;=0,"WAIT","NO")</f>
        <v/>
      </c>
    </row>
    <row r="16">
      <c r="A16" s="71" t="inlineStr">
        <is>
          <t>Y3</t>
        </is>
      </c>
      <c r="B16" s="87">
        <f>Scenarios!D12</f>
        <v/>
      </c>
      <c r="C16" s="87">
        <f>IFERROR(Scenarios!D18*((1+Scenarios!D19/12)^(Scenarios!D20*12)-(1+Scenarios!D19/12)^(3*12))/((1+Scenarios!D19/12)^(Scenarios!D20*12)-1),"—")</f>
        <v/>
      </c>
      <c r="D16" s="87">
        <f>Scenarios!D27*(1+Scenarios!D28)^3</f>
        <v/>
      </c>
      <c r="E16" s="87">
        <f>C16+D16</f>
        <v/>
      </c>
      <c r="F16" s="87">
        <f>IFERROR(B16/$B$10,"—")</f>
        <v/>
      </c>
      <c r="G16" s="87">
        <f>F16*Assumptions!$B$55</f>
        <v/>
      </c>
      <c r="H16" s="87">
        <f>IFERROR(PV($B$9/12,360,-B16/Assumptions!$B$57/12),"—")</f>
        <v/>
      </c>
      <c r="I16" s="87">
        <f>IFERROR(MIN(G16,H16),"—")</f>
        <v/>
      </c>
      <c r="J16" s="86">
        <f>E16-I16</f>
        <v/>
      </c>
      <c r="K16" s="87">
        <f>IFERROR(MAX(0,-J16),"—")</f>
        <v/>
      </c>
      <c r="L16" s="43">
        <f>IF(J16&lt;=0,"WAIT","NO")</f>
        <v/>
      </c>
    </row>
    <row r="17">
      <c r="A17" s="71" t="inlineStr">
        <is>
          <t>Y4</t>
        </is>
      </c>
      <c r="B17" s="87">
        <f>Scenarios!D12*((1+Cash_Flow_10yr!$B$5))^(4-3)</f>
        <v/>
      </c>
      <c r="C17" s="87">
        <f>IFERROR(Scenarios!D18*((1+Scenarios!D19/12)^(Scenarios!D20*12)-(1+Scenarios!D19/12)^(4*12))/((1+Scenarios!D19/12)^(Scenarios!D20*12)-1),"—")</f>
        <v/>
      </c>
      <c r="D17" s="87">
        <f>Scenarios!D27*(1+Scenarios!D28)^4</f>
        <v/>
      </c>
      <c r="E17" s="87">
        <f>C17+D17</f>
        <v/>
      </c>
      <c r="F17" s="87">
        <f>IFERROR(B17/$B$10,"—")</f>
        <v/>
      </c>
      <c r="G17" s="87">
        <f>F17*Assumptions!$B$55</f>
        <v/>
      </c>
      <c r="H17" s="87">
        <f>IFERROR(PV($B$9/12,360,-B17/Assumptions!$B$57/12),"—")</f>
        <v/>
      </c>
      <c r="I17" s="87">
        <f>IFERROR(MIN(G17,H17),"—")</f>
        <v/>
      </c>
      <c r="J17" s="86">
        <f>E17-I17</f>
        <v/>
      </c>
      <c r="K17" s="87">
        <f>IFERROR(MAX(0,-J17),"—")</f>
        <v/>
      </c>
      <c r="L17" s="43">
        <f>IF(J17&lt;=0,"WAIT","NO")</f>
        <v/>
      </c>
    </row>
    <row r="18">
      <c r="A18" s="71" t="inlineStr">
        <is>
          <t>Y5</t>
        </is>
      </c>
      <c r="B18" s="87">
        <f>Scenarios!D12*((1+Cash_Flow_10yr!$B$5))^(5-3)</f>
        <v/>
      </c>
      <c r="C18" s="87">
        <f>IFERROR(Scenarios!D18*((1+Scenarios!D19/12)^(Scenarios!D20*12)-(1+Scenarios!D19/12)^(5*12))/((1+Scenarios!D19/12)^(Scenarios!D20*12)-1),"—")</f>
        <v/>
      </c>
      <c r="D18" s="87">
        <f>Scenarios!D27*(1+Scenarios!D28)^5</f>
        <v/>
      </c>
      <c r="E18" s="87">
        <f>C18+D18</f>
        <v/>
      </c>
      <c r="F18" s="87">
        <f>IFERROR(B18/$B$10,"—")</f>
        <v/>
      </c>
      <c r="G18" s="87">
        <f>F18*Assumptions!$B$55</f>
        <v/>
      </c>
      <c r="H18" s="87">
        <f>IFERROR(PV($B$9/12,360,-B18/Assumptions!$B$57/12),"—")</f>
        <v/>
      </c>
      <c r="I18" s="87">
        <f>IFERROR(MIN(G18,H18),"—")</f>
        <v/>
      </c>
      <c r="J18" s="86">
        <f>E18-I18</f>
        <v/>
      </c>
      <c r="K18" s="87">
        <f>IFERROR(MAX(0,-J18),"—")</f>
        <v/>
      </c>
      <c r="L18" s="43">
        <f>IF(J18&lt;=0,"YES","NO")</f>
        <v/>
      </c>
    </row>
    <row r="19">
      <c r="A19" s="71" t="inlineStr">
        <is>
          <t>Y6</t>
        </is>
      </c>
      <c r="B19" s="87">
        <f>Scenarios!D12*((1+Cash_Flow_10yr!$B$5))^(6-3)</f>
        <v/>
      </c>
      <c r="C19" s="87">
        <f>IFERROR(Scenarios!D18*((1+Scenarios!D19/12)^(Scenarios!D20*12)-(1+Scenarios!D19/12)^(6*12))/((1+Scenarios!D19/12)^(Scenarios!D20*12)-1),"—")</f>
        <v/>
      </c>
      <c r="D19" s="87">
        <f>Scenarios!D27*(1+Scenarios!D28)^6</f>
        <v/>
      </c>
      <c r="E19" s="87">
        <f>C19+D19</f>
        <v/>
      </c>
      <c r="F19" s="87">
        <f>IFERROR(B19/$B$10,"—")</f>
        <v/>
      </c>
      <c r="G19" s="87">
        <f>F19*Assumptions!$B$55</f>
        <v/>
      </c>
      <c r="H19" s="87">
        <f>IFERROR(PV($B$9/12,360,-B19/Assumptions!$B$57/12),"—")</f>
        <v/>
      </c>
      <c r="I19" s="87">
        <f>IFERROR(MIN(G19,H19),"—")</f>
        <v/>
      </c>
      <c r="J19" s="86">
        <f>E19-I19</f>
        <v/>
      </c>
      <c r="K19" s="87">
        <f>IFERROR(MAX(0,-J19),"—")</f>
        <v/>
      </c>
      <c r="L19" s="43">
        <f>IF(J19&lt;=0,"YES","NO")</f>
        <v/>
      </c>
    </row>
    <row r="20">
      <c r="A20" s="71" t="inlineStr">
        <is>
          <t>Y7</t>
        </is>
      </c>
      <c r="B20" s="87">
        <f>Scenarios!D12*((1+Cash_Flow_10yr!$B$5))^(7-3)</f>
        <v/>
      </c>
      <c r="C20" s="87">
        <f>IFERROR(Scenarios!D18*((1+Scenarios!D19/12)^(Scenarios!D20*12)-(1+Scenarios!D19/12)^(7*12))/((1+Scenarios!D19/12)^(Scenarios!D20*12)-1),"—")</f>
        <v/>
      </c>
      <c r="D20" s="87">
        <f>Scenarios!D27*(1+Scenarios!D28)^7</f>
        <v/>
      </c>
      <c r="E20" s="87">
        <f>C20+D20</f>
        <v/>
      </c>
      <c r="F20" s="87">
        <f>IFERROR(B20/$B$10,"—")</f>
        <v/>
      </c>
      <c r="G20" s="87">
        <f>F20*Assumptions!$B$55</f>
        <v/>
      </c>
      <c r="H20" s="87">
        <f>IFERROR(PV($B$9/12,360,-B20/Assumptions!$B$57/12),"—")</f>
        <v/>
      </c>
      <c r="I20" s="87">
        <f>IFERROR(MIN(G20,H20),"—")</f>
        <v/>
      </c>
      <c r="J20" s="86">
        <f>E20-I20</f>
        <v/>
      </c>
      <c r="K20" s="87">
        <f>IFERROR(MAX(0,-J20),"—")</f>
        <v/>
      </c>
      <c r="L20" s="43">
        <f>IF(J20&lt;=0,"YES","NO")</f>
        <v/>
      </c>
    </row>
    <row r="21">
      <c r="A21" s="71" t="inlineStr">
        <is>
          <t>Y8</t>
        </is>
      </c>
      <c r="B21" s="87">
        <f>Scenarios!D12*((1+Cash_Flow_10yr!$B$5))^(8-3)</f>
        <v/>
      </c>
      <c r="C21" s="87">
        <f>IFERROR(Scenarios!D18*((1+Scenarios!D19/12)^(Scenarios!D20*12)-(1+Scenarios!D19/12)^(8*12))/((1+Scenarios!D19/12)^(Scenarios!D20*12)-1),"—")</f>
        <v/>
      </c>
      <c r="D21" s="87">
        <f>Scenarios!D27*(1+Scenarios!D28)^8</f>
        <v/>
      </c>
      <c r="E21" s="87">
        <f>C21+D21</f>
        <v/>
      </c>
      <c r="F21" s="87">
        <f>IFERROR(B21/$B$10,"—")</f>
        <v/>
      </c>
      <c r="G21" s="87">
        <f>F21*Assumptions!$B$55</f>
        <v/>
      </c>
      <c r="H21" s="87">
        <f>IFERROR(PV($B$9/12,360,-B21/Assumptions!$B$57/12),"—")</f>
        <v/>
      </c>
      <c r="I21" s="87">
        <f>IFERROR(MIN(G21,H21),"—")</f>
        <v/>
      </c>
      <c r="J21" s="86">
        <f>E21-I21</f>
        <v/>
      </c>
      <c r="K21" s="87">
        <f>IFERROR(MAX(0,-J21),"—")</f>
        <v/>
      </c>
      <c r="L21" s="43">
        <f>IF(J21&lt;=0,"YES","NO")</f>
        <v/>
      </c>
    </row>
    <row r="22">
      <c r="A22" s="71" t="inlineStr">
        <is>
          <t>Y9</t>
        </is>
      </c>
      <c r="B22" s="87">
        <f>Scenarios!D12*((1+Cash_Flow_10yr!$B$5))^(9-3)</f>
        <v/>
      </c>
      <c r="C22" s="87">
        <f>IFERROR(Scenarios!D18*((1+Scenarios!D19/12)^(Scenarios!D20*12)-(1+Scenarios!D19/12)^(9*12))/((1+Scenarios!D19/12)^(Scenarios!D20*12)-1),"—")</f>
        <v/>
      </c>
      <c r="D22" s="87">
        <f>Scenarios!D27*(1+Scenarios!D28)^9</f>
        <v/>
      </c>
      <c r="E22" s="87">
        <f>C22+D22</f>
        <v/>
      </c>
      <c r="F22" s="87">
        <f>IFERROR(B22/$B$10,"—")</f>
        <v/>
      </c>
      <c r="G22" s="87">
        <f>F22*Assumptions!$B$55</f>
        <v/>
      </c>
      <c r="H22" s="87">
        <f>IFERROR(PV($B$9/12,360,-B22/Assumptions!$B$57/12),"—")</f>
        <v/>
      </c>
      <c r="I22" s="87">
        <f>IFERROR(MIN(G22,H22),"—")</f>
        <v/>
      </c>
      <c r="J22" s="86">
        <f>E22-I22</f>
        <v/>
      </c>
      <c r="K22" s="87">
        <f>IFERROR(MAX(0,-J22),"—")</f>
        <v/>
      </c>
      <c r="L22" s="43">
        <f>IF(J22&lt;=0,"YES","NO")</f>
        <v/>
      </c>
    </row>
    <row r="23">
      <c r="A23" s="71" t="inlineStr">
        <is>
          <t>Y10</t>
        </is>
      </c>
      <c r="B23" s="87">
        <f>Scenarios!D12*((1+Cash_Flow_10yr!$B$5))^(10-3)</f>
        <v/>
      </c>
      <c r="C23" s="87">
        <f>IFERROR(Scenarios!D18*((1+Scenarios!D19/12)^(Scenarios!D20*12)-(1+Scenarios!D19/12)^(10*12))/((1+Scenarios!D19/12)^(Scenarios!D20*12)-1),"—")</f>
        <v/>
      </c>
      <c r="D23" s="87">
        <f>Scenarios!D27*(1+Scenarios!D28)^10</f>
        <v/>
      </c>
      <c r="E23" s="87">
        <f>C23+D23</f>
        <v/>
      </c>
      <c r="F23" s="87">
        <f>IFERROR(B23/$B$10,"—")</f>
        <v/>
      </c>
      <c r="G23" s="87">
        <f>F23*Assumptions!$B$55</f>
        <v/>
      </c>
      <c r="H23" s="87">
        <f>IFERROR(PV($B$9/12,360,-B23/Assumptions!$B$57/12),"—")</f>
        <v/>
      </c>
      <c r="I23" s="87">
        <f>IFERROR(MIN(G23,H23),"—")</f>
        <v/>
      </c>
      <c r="J23" s="86">
        <f>E23-I23</f>
        <v/>
      </c>
      <c r="K23" s="87">
        <f>IFERROR(MAX(0,-J23),"—")</f>
        <v/>
      </c>
      <c r="L23" s="43">
        <f>IF(J23&lt;=0,"YES","NO")</f>
        <v/>
      </c>
    </row>
    <row r="24">
      <c r="A24" s="71" t="inlineStr">
        <is>
          <t>Y11</t>
        </is>
      </c>
      <c r="B24" s="87">
        <f>Scenarios!D12*((1+Cash_Flow_10yr!$B$5))^(11-3)</f>
        <v/>
      </c>
      <c r="C24" s="87">
        <f>IFERROR(Scenarios!D18*((1+Scenarios!D19/12)^(Scenarios!D20*12)-(1+Scenarios!D19/12)^(11*12))/((1+Scenarios!D19/12)^(Scenarios!D20*12)-1),"—")</f>
        <v/>
      </c>
      <c r="D24" s="87">
        <f>Scenarios!D27*(1+Scenarios!D28)^11</f>
        <v/>
      </c>
      <c r="E24" s="87">
        <f>C24+D24</f>
        <v/>
      </c>
      <c r="F24" s="87">
        <f>IFERROR(B24/$B$10,"—")</f>
        <v/>
      </c>
      <c r="G24" s="87">
        <f>F24*Assumptions!$B$55</f>
        <v/>
      </c>
      <c r="H24" s="87">
        <f>IFERROR(PV($B$9/12,360,-B24/Assumptions!$B$57/12),"—")</f>
        <v/>
      </c>
      <c r="I24" s="87">
        <f>IFERROR(MIN(G24,H24),"—")</f>
        <v/>
      </c>
      <c r="J24" s="86">
        <f>E24-I24</f>
        <v/>
      </c>
      <c r="K24" s="87">
        <f>IFERROR(MAX(0,-J24),"—")</f>
        <v/>
      </c>
      <c r="L24" s="43">
        <f>IF(J24&lt;=0,"YES","NO")</f>
        <v/>
      </c>
    </row>
    <row r="25">
      <c r="A25" s="71" t="inlineStr">
        <is>
          <t>Y12</t>
        </is>
      </c>
      <c r="B25" s="87">
        <f>Scenarios!D12*((1+Cash_Flow_10yr!$B$5))^(12-3)</f>
        <v/>
      </c>
      <c r="C25" s="87">
        <f>IFERROR(Scenarios!D18*((1+Scenarios!D19/12)^(Scenarios!D20*12)-(1+Scenarios!D19/12)^(12*12))/((1+Scenarios!D19/12)^(Scenarios!D20*12)-1),"—")</f>
        <v/>
      </c>
      <c r="D25" s="87">
        <f>Scenarios!D27*(1+Scenarios!D28)^12</f>
        <v/>
      </c>
      <c r="E25" s="87">
        <f>C25+D25</f>
        <v/>
      </c>
      <c r="F25" s="87">
        <f>IFERROR(B25/$B$10,"—")</f>
        <v/>
      </c>
      <c r="G25" s="87">
        <f>F25*Assumptions!$B$55</f>
        <v/>
      </c>
      <c r="H25" s="87">
        <f>IFERROR(PV($B$9/12,360,-B25/Assumptions!$B$57/12),"—")</f>
        <v/>
      </c>
      <c r="I25" s="87">
        <f>IFERROR(MIN(G25,H25),"—")</f>
        <v/>
      </c>
      <c r="J25" s="86">
        <f>E25-I25</f>
        <v/>
      </c>
      <c r="K25" s="87">
        <f>IFERROR(MAX(0,-J25),"—")</f>
        <v/>
      </c>
      <c r="L25" s="43">
        <f>IF(J25&lt;=0,"YES","NO")</f>
        <v/>
      </c>
    </row>
    <row r="26">
      <c r="A26" s="71" t="inlineStr">
        <is>
          <t>Y13</t>
        </is>
      </c>
      <c r="B26" s="87">
        <f>Scenarios!D12*((1+Cash_Flow_10yr!$B$5))^(13-3)</f>
        <v/>
      </c>
      <c r="C26" s="87">
        <f>IFERROR(Scenarios!D18*((1+Scenarios!D19/12)^(Scenarios!D20*12)-(1+Scenarios!D19/12)^(13*12))/((1+Scenarios!D19/12)^(Scenarios!D20*12)-1),"—")</f>
        <v/>
      </c>
      <c r="D26" s="87">
        <f>Scenarios!D27*(1+Scenarios!D28)^13</f>
        <v/>
      </c>
      <c r="E26" s="87">
        <f>C26+D26</f>
        <v/>
      </c>
      <c r="F26" s="87">
        <f>IFERROR(B26/$B$10,"—")</f>
        <v/>
      </c>
      <c r="G26" s="87">
        <f>F26*Assumptions!$B$55</f>
        <v/>
      </c>
      <c r="H26" s="87">
        <f>IFERROR(PV($B$9/12,360,-B26/Assumptions!$B$57/12),"—")</f>
        <v/>
      </c>
      <c r="I26" s="87">
        <f>IFERROR(MIN(G26,H26),"—")</f>
        <v/>
      </c>
      <c r="J26" s="86">
        <f>E26-I26</f>
        <v/>
      </c>
      <c r="K26" s="87">
        <f>IFERROR(MAX(0,-J26),"—")</f>
        <v/>
      </c>
      <c r="L26" s="43">
        <f>IF(J26&lt;=0,"YES","NO")</f>
        <v/>
      </c>
    </row>
    <row r="27">
      <c r="A27" s="71" t="inlineStr">
        <is>
          <t>Y14</t>
        </is>
      </c>
      <c r="B27" s="87">
        <f>Scenarios!D12*((1+Cash_Flow_10yr!$B$5))^(14-3)</f>
        <v/>
      </c>
      <c r="C27" s="87">
        <f>IFERROR(Scenarios!D18*((1+Scenarios!D19/12)^(Scenarios!D20*12)-(1+Scenarios!D19/12)^(14*12))/((1+Scenarios!D19/12)^(Scenarios!D20*12)-1),"—")</f>
        <v/>
      </c>
      <c r="D27" s="87">
        <f>Scenarios!D27*(1+Scenarios!D28)^14</f>
        <v/>
      </c>
      <c r="E27" s="87">
        <f>C27+D27</f>
        <v/>
      </c>
      <c r="F27" s="87">
        <f>IFERROR(B27/$B$10,"—")</f>
        <v/>
      </c>
      <c r="G27" s="87">
        <f>F27*Assumptions!$B$55</f>
        <v/>
      </c>
      <c r="H27" s="87">
        <f>IFERROR(PV($B$9/12,360,-B27/Assumptions!$B$57/12),"—")</f>
        <v/>
      </c>
      <c r="I27" s="87">
        <f>IFERROR(MIN(G27,H27),"—")</f>
        <v/>
      </c>
      <c r="J27" s="86">
        <f>E27-I27</f>
        <v/>
      </c>
      <c r="K27" s="87">
        <f>IFERROR(MAX(0,-J27),"—")</f>
        <v/>
      </c>
      <c r="L27" s="43">
        <f>IF(J27&lt;=0,"YES","NO")</f>
        <v/>
      </c>
    </row>
    <row r="28">
      <c r="A28" s="71" t="inlineStr">
        <is>
          <t>Y15</t>
        </is>
      </c>
      <c r="B28" s="87">
        <f>Scenarios!D12*((1+Cash_Flow_10yr!$B$5))^(15-3)</f>
        <v/>
      </c>
      <c r="C28" s="87">
        <f>IFERROR(Scenarios!D18*((1+Scenarios!D19/12)^(Scenarios!D20*12)-(1+Scenarios!D19/12)^(15*12))/((1+Scenarios!D19/12)^(Scenarios!D20*12)-1),"—")</f>
        <v/>
      </c>
      <c r="D28" s="87">
        <f>Scenarios!D27*(1+Scenarios!D28)^15</f>
        <v/>
      </c>
      <c r="E28" s="87">
        <f>C28+D28</f>
        <v/>
      </c>
      <c r="F28" s="87">
        <f>IFERROR(B28/$B$10,"—")</f>
        <v/>
      </c>
      <c r="G28" s="87">
        <f>F28*Assumptions!$B$55</f>
        <v/>
      </c>
      <c r="H28" s="87">
        <f>IFERROR(PV($B$9/12,360,-B28/Assumptions!$B$57/12),"—")</f>
        <v/>
      </c>
      <c r="I28" s="87">
        <f>IFERROR(MIN(G28,H28),"—")</f>
        <v/>
      </c>
      <c r="J28" s="86">
        <f>E28-I28</f>
        <v/>
      </c>
      <c r="K28" s="87">
        <f>IFERROR(MAX(0,-J28),"—")</f>
        <v/>
      </c>
      <c r="L28" s="43">
        <f>IF(J28&lt;=0,"YES","NO")</f>
        <v/>
      </c>
    </row>
    <row r="29" ht="27.75" customHeight="1">
      <c r="A29" s="45" t="inlineStr">
        <is>
          <t>EARLIEST CLEAN REFI YEAR →</t>
        </is>
      </c>
      <c r="C29" s="46">
        <f>IFERROR(INDEX($A$14:$A$28,MATCH("YES",$L$14:$L$28,0)),"None within 15 yrs")</f>
        <v/>
      </c>
      <c r="E29" s="47" t="inlineStr">
        <is>
          <t>Cash-Out at that year:</t>
        </is>
      </c>
      <c r="G29" s="98">
        <f>IFERROR(INDEX($K$14:$K$28,MATCH("YES",$L$14:$L$28,0)),0)</f>
        <v/>
      </c>
    </row>
    <row r="31" ht="21.75" customHeight="1">
      <c r="A31" s="8" t="inlineStr">
        <is>
          <t>SECTION 2 — STRESS A: Rents Haircut  (vacancy spike or market softening)</t>
        </is>
      </c>
    </row>
    <row r="32" ht="27.75" customHeight="1">
      <c r="A32" s="40" t="inlineStr">
        <is>
          <t>Year</t>
        </is>
      </c>
      <c r="B32" s="40" t="inlineStr">
        <is>
          <t>NOI</t>
        </is>
      </c>
      <c r="C32" s="40" t="inlineStr">
        <is>
          <t>Senior Bal</t>
        </is>
      </c>
      <c r="D32" s="40" t="inlineStr">
        <is>
          <t>Carry Bal</t>
        </is>
      </c>
      <c r="E32" s="40" t="inlineStr">
        <is>
          <t>Stack</t>
        </is>
      </c>
      <c r="F32" s="40" t="inlineStr">
        <is>
          <t>Asset Value</t>
        </is>
      </c>
      <c r="G32" s="40" t="inlineStr">
        <is>
          <t>Max Refi (LTV)</t>
        </is>
      </c>
      <c r="H32" s="40" t="inlineStr">
        <is>
          <t>Max Refi (DSCR)</t>
        </is>
      </c>
      <c r="I32" s="40" t="inlineStr">
        <is>
          <t>Max Refi</t>
        </is>
      </c>
      <c r="J32" s="40" t="inlineStr">
        <is>
          <t>Refi Gap</t>
        </is>
      </c>
      <c r="K32" s="40" t="inlineStr">
        <is>
          <t>Cash-Out</t>
        </is>
      </c>
      <c r="L32" s="40" t="inlineStr">
        <is>
          <t>OK TO REFI?</t>
        </is>
      </c>
    </row>
    <row r="33">
      <c r="A33" s="71" t="inlineStr">
        <is>
          <t>Y1</t>
        </is>
      </c>
      <c r="B33" s="87">
        <f>IFERROR(Scenarios!D11-(Income_Statement!D5*((1+Cash_Flow_10yr!$B$5))^MAX(0,0))*$B$5,"—")</f>
        <v/>
      </c>
      <c r="C33" s="87">
        <f>IFERROR(Scenarios!D18*((1+Scenarios!D19/12)^(Scenarios!D20*12)-(1+Scenarios!D19/12)^(1*12))/((1+Scenarios!D19/12)^(Scenarios!D20*12)-1),"—")</f>
        <v/>
      </c>
      <c r="D33" s="87">
        <f>Scenarios!D27*(1+Scenarios!D28)^1</f>
        <v/>
      </c>
      <c r="E33" s="87">
        <f>C33+D33</f>
        <v/>
      </c>
      <c r="F33" s="87">
        <f>IFERROR(B33/$B$10,"—")</f>
        <v/>
      </c>
      <c r="G33" s="87">
        <f>F33*Assumptions!$B$55</f>
        <v/>
      </c>
      <c r="H33" s="87">
        <f>IFERROR(PV($B$9/12,360,-B33/Assumptions!$B$57/12),"—")</f>
        <v/>
      </c>
      <c r="I33" s="87">
        <f>IFERROR(MIN(G33,H33),"—")</f>
        <v/>
      </c>
      <c r="J33" s="86">
        <f>E33-I33</f>
        <v/>
      </c>
      <c r="K33" s="87">
        <f>IFERROR(MAX(0,-J33),"—")</f>
        <v/>
      </c>
      <c r="L33" s="43">
        <f>IF(J33&lt;=0,"WAIT","NO")</f>
        <v/>
      </c>
    </row>
    <row r="34">
      <c r="A34" s="71" t="inlineStr">
        <is>
          <t>Y2</t>
        </is>
      </c>
      <c r="B34" s="87">
        <f>IFERROR((Scenarios!D11+Scenarios!D12)/2-(Income_Statement!D5*((1+Cash_Flow_10yr!$B$5))^MAX(0,1))*$B$5,"—")</f>
        <v/>
      </c>
      <c r="C34" s="87">
        <f>IFERROR(Scenarios!D18*((1+Scenarios!D19/12)^(Scenarios!D20*12)-(1+Scenarios!D19/12)^(2*12))/((1+Scenarios!D19/12)^(Scenarios!D20*12)-1),"—")</f>
        <v/>
      </c>
      <c r="D34" s="87">
        <f>Scenarios!D27*(1+Scenarios!D28)^2</f>
        <v/>
      </c>
      <c r="E34" s="87">
        <f>C34+D34</f>
        <v/>
      </c>
      <c r="F34" s="87">
        <f>IFERROR(B34/$B$10,"—")</f>
        <v/>
      </c>
      <c r="G34" s="87">
        <f>F34*Assumptions!$B$55</f>
        <v/>
      </c>
      <c r="H34" s="87">
        <f>IFERROR(PV($B$9/12,360,-B34/Assumptions!$B$57/12),"—")</f>
        <v/>
      </c>
      <c r="I34" s="87">
        <f>IFERROR(MIN(G34,H34),"—")</f>
        <v/>
      </c>
      <c r="J34" s="86">
        <f>E34-I34</f>
        <v/>
      </c>
      <c r="K34" s="87">
        <f>IFERROR(MAX(0,-J34),"—")</f>
        <v/>
      </c>
      <c r="L34" s="43">
        <f>IF(J34&lt;=0,"WAIT","NO")</f>
        <v/>
      </c>
    </row>
    <row r="35">
      <c r="A35" s="71" t="inlineStr">
        <is>
          <t>Y3</t>
        </is>
      </c>
      <c r="B35" s="87">
        <f>IFERROR(Scenarios!D12-(Income_Statement!D5*((1+Cash_Flow_10yr!$B$5))^MAX(0,2))*$B$5,"—")</f>
        <v/>
      </c>
      <c r="C35" s="87">
        <f>IFERROR(Scenarios!D18*((1+Scenarios!D19/12)^(Scenarios!D20*12)-(1+Scenarios!D19/12)^(3*12))/((1+Scenarios!D19/12)^(Scenarios!D20*12)-1),"—")</f>
        <v/>
      </c>
      <c r="D35" s="87">
        <f>Scenarios!D27*(1+Scenarios!D28)^3</f>
        <v/>
      </c>
      <c r="E35" s="87">
        <f>C35+D35</f>
        <v/>
      </c>
      <c r="F35" s="87">
        <f>IFERROR(B35/$B$10,"—")</f>
        <v/>
      </c>
      <c r="G35" s="87">
        <f>F35*Assumptions!$B$55</f>
        <v/>
      </c>
      <c r="H35" s="87">
        <f>IFERROR(PV($B$9/12,360,-B35/Assumptions!$B$57/12),"—")</f>
        <v/>
      </c>
      <c r="I35" s="87">
        <f>IFERROR(MIN(G35,H35),"—")</f>
        <v/>
      </c>
      <c r="J35" s="86">
        <f>E35-I35</f>
        <v/>
      </c>
      <c r="K35" s="87">
        <f>IFERROR(MAX(0,-J35),"—")</f>
        <v/>
      </c>
      <c r="L35" s="43">
        <f>IF(J35&lt;=0,"WAIT","NO")</f>
        <v/>
      </c>
    </row>
    <row r="36">
      <c r="A36" s="71" t="inlineStr">
        <is>
          <t>Y4</t>
        </is>
      </c>
      <c r="B36" s="87">
        <f>IFERROR(Scenarios!D12*((1+Cash_Flow_10yr!$B$5))^(4-3)-(Income_Statement!D5*((1+Cash_Flow_10yr!$B$5))^MAX(0,3))*$B$5,"—")</f>
        <v/>
      </c>
      <c r="C36" s="87">
        <f>IFERROR(Scenarios!D18*((1+Scenarios!D19/12)^(Scenarios!D20*12)-(1+Scenarios!D19/12)^(4*12))/((1+Scenarios!D19/12)^(Scenarios!D20*12)-1),"—")</f>
        <v/>
      </c>
      <c r="D36" s="87">
        <f>Scenarios!D27*(1+Scenarios!D28)^4</f>
        <v/>
      </c>
      <c r="E36" s="87">
        <f>C36+D36</f>
        <v/>
      </c>
      <c r="F36" s="87">
        <f>IFERROR(B36/$B$10,"—")</f>
        <v/>
      </c>
      <c r="G36" s="87">
        <f>F36*Assumptions!$B$55</f>
        <v/>
      </c>
      <c r="H36" s="87">
        <f>IFERROR(PV($B$9/12,360,-B36/Assumptions!$B$57/12),"—")</f>
        <v/>
      </c>
      <c r="I36" s="87">
        <f>IFERROR(MIN(G36,H36),"—")</f>
        <v/>
      </c>
      <c r="J36" s="86">
        <f>E36-I36</f>
        <v/>
      </c>
      <c r="K36" s="87">
        <f>IFERROR(MAX(0,-J36),"—")</f>
        <v/>
      </c>
      <c r="L36" s="43">
        <f>IF(J36&lt;=0,"WAIT","NO")</f>
        <v/>
      </c>
    </row>
    <row r="37">
      <c r="A37" s="71" t="inlineStr">
        <is>
          <t>Y5</t>
        </is>
      </c>
      <c r="B37" s="87">
        <f>IFERROR(Scenarios!D12*((1+Cash_Flow_10yr!$B$5))^(5-3)-(Income_Statement!D5*((1+Cash_Flow_10yr!$B$5))^MAX(0,4))*$B$5,"—")</f>
        <v/>
      </c>
      <c r="C37" s="87">
        <f>IFERROR(Scenarios!D18*((1+Scenarios!D19/12)^(Scenarios!D20*12)-(1+Scenarios!D19/12)^(5*12))/((1+Scenarios!D19/12)^(Scenarios!D20*12)-1),"—")</f>
        <v/>
      </c>
      <c r="D37" s="87">
        <f>Scenarios!D27*(1+Scenarios!D28)^5</f>
        <v/>
      </c>
      <c r="E37" s="87">
        <f>C37+D37</f>
        <v/>
      </c>
      <c r="F37" s="87">
        <f>IFERROR(B37/$B$10,"—")</f>
        <v/>
      </c>
      <c r="G37" s="87">
        <f>F37*Assumptions!$B$55</f>
        <v/>
      </c>
      <c r="H37" s="87">
        <f>IFERROR(PV($B$9/12,360,-B37/Assumptions!$B$57/12),"—")</f>
        <v/>
      </c>
      <c r="I37" s="87">
        <f>IFERROR(MIN(G37,H37),"—")</f>
        <v/>
      </c>
      <c r="J37" s="86">
        <f>E37-I37</f>
        <v/>
      </c>
      <c r="K37" s="87">
        <f>IFERROR(MAX(0,-J37),"—")</f>
        <v/>
      </c>
      <c r="L37" s="43">
        <f>IF(J37&lt;=0,"YES","NO")</f>
        <v/>
      </c>
    </row>
    <row r="38">
      <c r="A38" s="71" t="inlineStr">
        <is>
          <t>Y6</t>
        </is>
      </c>
      <c r="B38" s="87">
        <f>IFERROR(Scenarios!D12*((1+Cash_Flow_10yr!$B$5))^(6-3)-(Income_Statement!D5*((1+Cash_Flow_10yr!$B$5))^MAX(0,5))*$B$5,"—")</f>
        <v/>
      </c>
      <c r="C38" s="87">
        <f>IFERROR(Scenarios!D18*((1+Scenarios!D19/12)^(Scenarios!D20*12)-(1+Scenarios!D19/12)^(6*12))/((1+Scenarios!D19/12)^(Scenarios!D20*12)-1),"—")</f>
        <v/>
      </c>
      <c r="D38" s="87">
        <f>Scenarios!D27*(1+Scenarios!D28)^6</f>
        <v/>
      </c>
      <c r="E38" s="87">
        <f>C38+D38</f>
        <v/>
      </c>
      <c r="F38" s="87">
        <f>IFERROR(B38/$B$10,"—")</f>
        <v/>
      </c>
      <c r="G38" s="87">
        <f>F38*Assumptions!$B$55</f>
        <v/>
      </c>
      <c r="H38" s="87">
        <f>IFERROR(PV($B$9/12,360,-B38/Assumptions!$B$57/12),"—")</f>
        <v/>
      </c>
      <c r="I38" s="87">
        <f>IFERROR(MIN(G38,H38),"—")</f>
        <v/>
      </c>
      <c r="J38" s="86">
        <f>E38-I38</f>
        <v/>
      </c>
      <c r="K38" s="87">
        <f>IFERROR(MAX(0,-J38),"—")</f>
        <v/>
      </c>
      <c r="L38" s="43">
        <f>IF(J38&lt;=0,"YES","NO")</f>
        <v/>
      </c>
    </row>
    <row r="39">
      <c r="A39" s="71" t="inlineStr">
        <is>
          <t>Y7</t>
        </is>
      </c>
      <c r="B39" s="87">
        <f>IFERROR(Scenarios!D12*((1+Cash_Flow_10yr!$B$5))^(7-3)-(Income_Statement!D5*((1+Cash_Flow_10yr!$B$5))^MAX(0,6))*$B$5,"—")</f>
        <v/>
      </c>
      <c r="C39" s="87">
        <f>IFERROR(Scenarios!D18*((1+Scenarios!D19/12)^(Scenarios!D20*12)-(1+Scenarios!D19/12)^(7*12))/((1+Scenarios!D19/12)^(Scenarios!D20*12)-1),"—")</f>
        <v/>
      </c>
      <c r="D39" s="87">
        <f>Scenarios!D27*(1+Scenarios!D28)^7</f>
        <v/>
      </c>
      <c r="E39" s="87">
        <f>C39+D39</f>
        <v/>
      </c>
      <c r="F39" s="87">
        <f>IFERROR(B39/$B$10,"—")</f>
        <v/>
      </c>
      <c r="G39" s="87">
        <f>F39*Assumptions!$B$55</f>
        <v/>
      </c>
      <c r="H39" s="87">
        <f>IFERROR(PV($B$9/12,360,-B39/Assumptions!$B$57/12),"—")</f>
        <v/>
      </c>
      <c r="I39" s="87">
        <f>IFERROR(MIN(G39,H39),"—")</f>
        <v/>
      </c>
      <c r="J39" s="86">
        <f>E39-I39</f>
        <v/>
      </c>
      <c r="K39" s="87">
        <f>IFERROR(MAX(0,-J39),"—")</f>
        <v/>
      </c>
      <c r="L39" s="43">
        <f>IF(J39&lt;=0,"YES","NO")</f>
        <v/>
      </c>
    </row>
    <row r="40">
      <c r="A40" s="71" t="inlineStr">
        <is>
          <t>Y8</t>
        </is>
      </c>
      <c r="B40" s="87">
        <f>IFERROR(Scenarios!D12*((1+Cash_Flow_10yr!$B$5))^(8-3)-(Income_Statement!D5*((1+Cash_Flow_10yr!$B$5))^MAX(0,7))*$B$5,"—")</f>
        <v/>
      </c>
      <c r="C40" s="87">
        <f>IFERROR(Scenarios!D18*((1+Scenarios!D19/12)^(Scenarios!D20*12)-(1+Scenarios!D19/12)^(8*12))/((1+Scenarios!D19/12)^(Scenarios!D20*12)-1),"—")</f>
        <v/>
      </c>
      <c r="D40" s="87">
        <f>Scenarios!D27*(1+Scenarios!D28)^8</f>
        <v/>
      </c>
      <c r="E40" s="87">
        <f>C40+D40</f>
        <v/>
      </c>
      <c r="F40" s="87">
        <f>IFERROR(B40/$B$10,"—")</f>
        <v/>
      </c>
      <c r="G40" s="87">
        <f>F40*Assumptions!$B$55</f>
        <v/>
      </c>
      <c r="H40" s="87">
        <f>IFERROR(PV($B$9/12,360,-B40/Assumptions!$B$57/12),"—")</f>
        <v/>
      </c>
      <c r="I40" s="87">
        <f>IFERROR(MIN(G40,H40),"—")</f>
        <v/>
      </c>
      <c r="J40" s="86">
        <f>E40-I40</f>
        <v/>
      </c>
      <c r="K40" s="87">
        <f>IFERROR(MAX(0,-J40),"—")</f>
        <v/>
      </c>
      <c r="L40" s="43">
        <f>IF(J40&lt;=0,"YES","NO")</f>
        <v/>
      </c>
    </row>
    <row r="41">
      <c r="A41" s="71" t="inlineStr">
        <is>
          <t>Y9</t>
        </is>
      </c>
      <c r="B41" s="87">
        <f>IFERROR(Scenarios!D12*((1+Cash_Flow_10yr!$B$5))^(9-3)-(Income_Statement!D5*((1+Cash_Flow_10yr!$B$5))^MAX(0,8))*$B$5,"—")</f>
        <v/>
      </c>
      <c r="C41" s="87">
        <f>IFERROR(Scenarios!D18*((1+Scenarios!D19/12)^(Scenarios!D20*12)-(1+Scenarios!D19/12)^(9*12))/((1+Scenarios!D19/12)^(Scenarios!D20*12)-1),"—")</f>
        <v/>
      </c>
      <c r="D41" s="87">
        <f>Scenarios!D27*(1+Scenarios!D28)^9</f>
        <v/>
      </c>
      <c r="E41" s="87">
        <f>C41+D41</f>
        <v/>
      </c>
      <c r="F41" s="87">
        <f>IFERROR(B41/$B$10,"—")</f>
        <v/>
      </c>
      <c r="G41" s="87">
        <f>F41*Assumptions!$B$55</f>
        <v/>
      </c>
      <c r="H41" s="87">
        <f>IFERROR(PV($B$9/12,360,-B41/Assumptions!$B$57/12),"—")</f>
        <v/>
      </c>
      <c r="I41" s="87">
        <f>IFERROR(MIN(G41,H41),"—")</f>
        <v/>
      </c>
      <c r="J41" s="86">
        <f>E41-I41</f>
        <v/>
      </c>
      <c r="K41" s="87">
        <f>IFERROR(MAX(0,-J41),"—")</f>
        <v/>
      </c>
      <c r="L41" s="43">
        <f>IF(J41&lt;=0,"YES","NO")</f>
        <v/>
      </c>
    </row>
    <row r="42">
      <c r="A42" s="71" t="inlineStr">
        <is>
          <t>Y10</t>
        </is>
      </c>
      <c r="B42" s="87">
        <f>IFERROR(Scenarios!D12*((1+Cash_Flow_10yr!$B$5))^(10-3)-(Income_Statement!D5*((1+Cash_Flow_10yr!$B$5))^MAX(0,9))*$B$5,"—")</f>
        <v/>
      </c>
      <c r="C42" s="87">
        <f>IFERROR(Scenarios!D18*((1+Scenarios!D19/12)^(Scenarios!D20*12)-(1+Scenarios!D19/12)^(10*12))/((1+Scenarios!D19/12)^(Scenarios!D20*12)-1),"—")</f>
        <v/>
      </c>
      <c r="D42" s="87">
        <f>Scenarios!D27*(1+Scenarios!D28)^10</f>
        <v/>
      </c>
      <c r="E42" s="87">
        <f>C42+D42</f>
        <v/>
      </c>
      <c r="F42" s="87">
        <f>IFERROR(B42/$B$10,"—")</f>
        <v/>
      </c>
      <c r="G42" s="87">
        <f>F42*Assumptions!$B$55</f>
        <v/>
      </c>
      <c r="H42" s="87">
        <f>IFERROR(PV($B$9/12,360,-B42/Assumptions!$B$57/12),"—")</f>
        <v/>
      </c>
      <c r="I42" s="87">
        <f>IFERROR(MIN(G42,H42),"—")</f>
        <v/>
      </c>
      <c r="J42" s="86">
        <f>E42-I42</f>
        <v/>
      </c>
      <c r="K42" s="87">
        <f>IFERROR(MAX(0,-J42),"—")</f>
        <v/>
      </c>
      <c r="L42" s="43">
        <f>IF(J42&lt;=0,"YES","NO")</f>
        <v/>
      </c>
    </row>
    <row r="43">
      <c r="A43" s="71" t="inlineStr">
        <is>
          <t>Y11</t>
        </is>
      </c>
      <c r="B43" s="87">
        <f>IFERROR(Scenarios!D12*((1+Cash_Flow_10yr!$B$5))^(11-3)-(Income_Statement!D5*((1+Cash_Flow_10yr!$B$5))^MAX(0,10))*$B$5,"—")</f>
        <v/>
      </c>
      <c r="C43" s="87">
        <f>IFERROR(Scenarios!D18*((1+Scenarios!D19/12)^(Scenarios!D20*12)-(1+Scenarios!D19/12)^(11*12))/((1+Scenarios!D19/12)^(Scenarios!D20*12)-1),"—")</f>
        <v/>
      </c>
      <c r="D43" s="87">
        <f>Scenarios!D27*(1+Scenarios!D28)^11</f>
        <v/>
      </c>
      <c r="E43" s="87">
        <f>C43+D43</f>
        <v/>
      </c>
      <c r="F43" s="87">
        <f>IFERROR(B43/$B$10,"—")</f>
        <v/>
      </c>
      <c r="G43" s="87">
        <f>F43*Assumptions!$B$55</f>
        <v/>
      </c>
      <c r="H43" s="87">
        <f>IFERROR(PV($B$9/12,360,-B43/Assumptions!$B$57/12),"—")</f>
        <v/>
      </c>
      <c r="I43" s="87">
        <f>IFERROR(MIN(G43,H43),"—")</f>
        <v/>
      </c>
      <c r="J43" s="86">
        <f>E43-I43</f>
        <v/>
      </c>
      <c r="K43" s="87">
        <f>IFERROR(MAX(0,-J43),"—")</f>
        <v/>
      </c>
      <c r="L43" s="43">
        <f>IF(J43&lt;=0,"YES","NO")</f>
        <v/>
      </c>
    </row>
    <row r="44">
      <c r="A44" s="71" t="inlineStr">
        <is>
          <t>Y12</t>
        </is>
      </c>
      <c r="B44" s="87">
        <f>IFERROR(Scenarios!D12*((1+Cash_Flow_10yr!$B$5))^(12-3)-(Income_Statement!D5*((1+Cash_Flow_10yr!$B$5))^MAX(0,11))*$B$5,"—")</f>
        <v/>
      </c>
      <c r="C44" s="87">
        <f>IFERROR(Scenarios!D18*((1+Scenarios!D19/12)^(Scenarios!D20*12)-(1+Scenarios!D19/12)^(12*12))/((1+Scenarios!D19/12)^(Scenarios!D20*12)-1),"—")</f>
        <v/>
      </c>
      <c r="D44" s="87">
        <f>Scenarios!D27*(1+Scenarios!D28)^12</f>
        <v/>
      </c>
      <c r="E44" s="87">
        <f>C44+D44</f>
        <v/>
      </c>
      <c r="F44" s="87">
        <f>IFERROR(B44/$B$10,"—")</f>
        <v/>
      </c>
      <c r="G44" s="87">
        <f>F44*Assumptions!$B$55</f>
        <v/>
      </c>
      <c r="H44" s="87">
        <f>IFERROR(PV($B$9/12,360,-B44/Assumptions!$B$57/12),"—")</f>
        <v/>
      </c>
      <c r="I44" s="87">
        <f>IFERROR(MIN(G44,H44),"—")</f>
        <v/>
      </c>
      <c r="J44" s="86">
        <f>E44-I44</f>
        <v/>
      </c>
      <c r="K44" s="87">
        <f>IFERROR(MAX(0,-J44),"—")</f>
        <v/>
      </c>
      <c r="L44" s="43">
        <f>IF(J44&lt;=0,"YES","NO")</f>
        <v/>
      </c>
    </row>
    <row r="45">
      <c r="A45" s="71" t="inlineStr">
        <is>
          <t>Y13</t>
        </is>
      </c>
      <c r="B45" s="87">
        <f>IFERROR(Scenarios!D12*((1+Cash_Flow_10yr!$B$5))^(13-3)-(Income_Statement!D5*((1+Cash_Flow_10yr!$B$5))^MAX(0,12))*$B$5,"—")</f>
        <v/>
      </c>
      <c r="C45" s="87">
        <f>IFERROR(Scenarios!D18*((1+Scenarios!D19/12)^(Scenarios!D20*12)-(1+Scenarios!D19/12)^(13*12))/((1+Scenarios!D19/12)^(Scenarios!D20*12)-1),"—")</f>
        <v/>
      </c>
      <c r="D45" s="87">
        <f>Scenarios!D27*(1+Scenarios!D28)^13</f>
        <v/>
      </c>
      <c r="E45" s="87">
        <f>C45+D45</f>
        <v/>
      </c>
      <c r="F45" s="87">
        <f>IFERROR(B45/$B$10,"—")</f>
        <v/>
      </c>
      <c r="G45" s="87">
        <f>F45*Assumptions!$B$55</f>
        <v/>
      </c>
      <c r="H45" s="87">
        <f>IFERROR(PV($B$9/12,360,-B45/Assumptions!$B$57/12),"—")</f>
        <v/>
      </c>
      <c r="I45" s="87">
        <f>IFERROR(MIN(G45,H45),"—")</f>
        <v/>
      </c>
      <c r="J45" s="86">
        <f>E45-I45</f>
        <v/>
      </c>
      <c r="K45" s="87">
        <f>IFERROR(MAX(0,-J45),"—")</f>
        <v/>
      </c>
      <c r="L45" s="43">
        <f>IF(J45&lt;=0,"YES","NO")</f>
        <v/>
      </c>
    </row>
    <row r="46">
      <c r="A46" s="71" t="inlineStr">
        <is>
          <t>Y14</t>
        </is>
      </c>
      <c r="B46" s="87">
        <f>IFERROR(Scenarios!D12*((1+Cash_Flow_10yr!$B$5))^(14-3)-(Income_Statement!D5*((1+Cash_Flow_10yr!$B$5))^MAX(0,13))*$B$5,"—")</f>
        <v/>
      </c>
      <c r="C46" s="87">
        <f>IFERROR(Scenarios!D18*((1+Scenarios!D19/12)^(Scenarios!D20*12)-(1+Scenarios!D19/12)^(14*12))/((1+Scenarios!D19/12)^(Scenarios!D20*12)-1),"—")</f>
        <v/>
      </c>
      <c r="D46" s="87">
        <f>Scenarios!D27*(1+Scenarios!D28)^14</f>
        <v/>
      </c>
      <c r="E46" s="87">
        <f>C46+D46</f>
        <v/>
      </c>
      <c r="F46" s="87">
        <f>IFERROR(B46/$B$10,"—")</f>
        <v/>
      </c>
      <c r="G46" s="87">
        <f>F46*Assumptions!$B$55</f>
        <v/>
      </c>
      <c r="H46" s="87">
        <f>IFERROR(PV($B$9/12,360,-B46/Assumptions!$B$57/12),"—")</f>
        <v/>
      </c>
      <c r="I46" s="87">
        <f>IFERROR(MIN(G46,H46),"—")</f>
        <v/>
      </c>
      <c r="J46" s="86">
        <f>E46-I46</f>
        <v/>
      </c>
      <c r="K46" s="87">
        <f>IFERROR(MAX(0,-J46),"—")</f>
        <v/>
      </c>
      <c r="L46" s="43">
        <f>IF(J46&lt;=0,"YES","NO")</f>
        <v/>
      </c>
    </row>
    <row r="47">
      <c r="A47" s="71" t="inlineStr">
        <is>
          <t>Y15</t>
        </is>
      </c>
      <c r="B47" s="87">
        <f>IFERROR(Scenarios!D12*((1+Cash_Flow_10yr!$B$5))^(15-3)-(Income_Statement!D5*((1+Cash_Flow_10yr!$B$5))^MAX(0,14))*$B$5,"—")</f>
        <v/>
      </c>
      <c r="C47" s="87">
        <f>IFERROR(Scenarios!D18*((1+Scenarios!D19/12)^(Scenarios!D20*12)-(1+Scenarios!D19/12)^(15*12))/((1+Scenarios!D19/12)^(Scenarios!D20*12)-1),"—")</f>
        <v/>
      </c>
      <c r="D47" s="87">
        <f>Scenarios!D27*(1+Scenarios!D28)^15</f>
        <v/>
      </c>
      <c r="E47" s="87">
        <f>C47+D47</f>
        <v/>
      </c>
      <c r="F47" s="87">
        <f>IFERROR(B47/$B$10,"—")</f>
        <v/>
      </c>
      <c r="G47" s="87">
        <f>F47*Assumptions!$B$55</f>
        <v/>
      </c>
      <c r="H47" s="87">
        <f>IFERROR(PV($B$9/12,360,-B47/Assumptions!$B$57/12),"—")</f>
        <v/>
      </c>
      <c r="I47" s="87">
        <f>IFERROR(MIN(G47,H47),"—")</f>
        <v/>
      </c>
      <c r="J47" s="86">
        <f>E47-I47</f>
        <v/>
      </c>
      <c r="K47" s="87">
        <f>IFERROR(MAX(0,-J47),"—")</f>
        <v/>
      </c>
      <c r="L47" s="43">
        <f>IF(J47&lt;=0,"YES","NO")</f>
        <v/>
      </c>
    </row>
    <row r="48" ht="27.75" customHeight="1">
      <c r="A48" s="45" t="inlineStr">
        <is>
          <t>EARLIEST CLEAN REFI YEAR →</t>
        </is>
      </c>
      <c r="C48" s="46">
        <f>IFERROR(INDEX($A$33:$A$47,MATCH("YES",$L$33:$L$47,0)),"None within 15 yrs")</f>
        <v/>
      </c>
      <c r="E48" s="47" t="inlineStr">
        <is>
          <t>Cash-Out at that year:</t>
        </is>
      </c>
      <c r="G48" s="98">
        <f>IFERROR(INDEX($K$33:$K$47,MATCH("YES",$L$33:$L$47,0)),0)</f>
        <v/>
      </c>
    </row>
    <row r="50" ht="21.75" customHeight="1">
      <c r="A50" s="8" t="inlineStr">
        <is>
          <t>SECTION 3 — STRESS B: OpEx Inflation  (insurance hike, tax reassessment, maintenance escalation)</t>
        </is>
      </c>
    </row>
    <row r="51" ht="27.75" customHeight="1">
      <c r="A51" s="40" t="inlineStr">
        <is>
          <t>Year</t>
        </is>
      </c>
      <c r="B51" s="40" t="inlineStr">
        <is>
          <t>NOI</t>
        </is>
      </c>
      <c r="C51" s="40" t="inlineStr">
        <is>
          <t>Senior Bal</t>
        </is>
      </c>
      <c r="D51" s="40" t="inlineStr">
        <is>
          <t>Carry Bal</t>
        </is>
      </c>
      <c r="E51" s="40" t="inlineStr">
        <is>
          <t>Stack</t>
        </is>
      </c>
      <c r="F51" s="40" t="inlineStr">
        <is>
          <t>Asset Value</t>
        </is>
      </c>
      <c r="G51" s="40" t="inlineStr">
        <is>
          <t>Max Refi (LTV)</t>
        </is>
      </c>
      <c r="H51" s="40" t="inlineStr">
        <is>
          <t>Max Refi (DSCR)</t>
        </is>
      </c>
      <c r="I51" s="40" t="inlineStr">
        <is>
          <t>Max Refi</t>
        </is>
      </c>
      <c r="J51" s="40" t="inlineStr">
        <is>
          <t>Refi Gap</t>
        </is>
      </c>
      <c r="K51" s="40" t="inlineStr">
        <is>
          <t>Cash-Out</t>
        </is>
      </c>
      <c r="L51" s="40" t="inlineStr">
        <is>
          <t>OK TO REFI?</t>
        </is>
      </c>
    </row>
    <row r="52">
      <c r="A52" s="71" t="inlineStr">
        <is>
          <t>Y1</t>
        </is>
      </c>
      <c r="B52" s="87">
        <f>IFERROR(Scenarios!D11-(Income_Statement!D17*(1+Assumptions!$B$50)^MAX(0,0))*$B$6,"—")</f>
        <v/>
      </c>
      <c r="C52" s="87">
        <f>IFERROR(Scenarios!D18*((1+Scenarios!D19/12)^(Scenarios!D20*12)-(1+Scenarios!D19/12)^(1*12))/((1+Scenarios!D19/12)^(Scenarios!D20*12)-1),"—")</f>
        <v/>
      </c>
      <c r="D52" s="87">
        <f>Scenarios!D27*(1+Scenarios!D28)^1</f>
        <v/>
      </c>
      <c r="E52" s="87">
        <f>C52+D52</f>
        <v/>
      </c>
      <c r="F52" s="87">
        <f>IFERROR(B52/$B$10,"—")</f>
        <v/>
      </c>
      <c r="G52" s="87">
        <f>F52*Assumptions!$B$55</f>
        <v/>
      </c>
      <c r="H52" s="87">
        <f>IFERROR(PV($B$9/12,360,-B52/Assumptions!$B$57/12),"—")</f>
        <v/>
      </c>
      <c r="I52" s="87">
        <f>IFERROR(MIN(G52,H52),"—")</f>
        <v/>
      </c>
      <c r="J52" s="86">
        <f>E52-I52</f>
        <v/>
      </c>
      <c r="K52" s="87">
        <f>IFERROR(MAX(0,-J52),"—")</f>
        <v/>
      </c>
      <c r="L52" s="43">
        <f>IF(J52&lt;=0,"WAIT","NO")</f>
        <v/>
      </c>
    </row>
    <row r="53">
      <c r="A53" s="71" t="inlineStr">
        <is>
          <t>Y2</t>
        </is>
      </c>
      <c r="B53" s="87">
        <f>IFERROR((Scenarios!D11+Scenarios!D12)/2-(Income_Statement!D17*(1+Assumptions!$B$50)^MAX(0,1))*$B$6,"—")</f>
        <v/>
      </c>
      <c r="C53" s="87">
        <f>IFERROR(Scenarios!D18*((1+Scenarios!D19/12)^(Scenarios!D20*12)-(1+Scenarios!D19/12)^(2*12))/((1+Scenarios!D19/12)^(Scenarios!D20*12)-1),"—")</f>
        <v/>
      </c>
      <c r="D53" s="87">
        <f>Scenarios!D27*(1+Scenarios!D28)^2</f>
        <v/>
      </c>
      <c r="E53" s="87">
        <f>C53+D53</f>
        <v/>
      </c>
      <c r="F53" s="87">
        <f>IFERROR(B53/$B$10,"—")</f>
        <v/>
      </c>
      <c r="G53" s="87">
        <f>F53*Assumptions!$B$55</f>
        <v/>
      </c>
      <c r="H53" s="87">
        <f>IFERROR(PV($B$9/12,360,-B53/Assumptions!$B$57/12),"—")</f>
        <v/>
      </c>
      <c r="I53" s="87">
        <f>IFERROR(MIN(G53,H53),"—")</f>
        <v/>
      </c>
      <c r="J53" s="86">
        <f>E53-I53</f>
        <v/>
      </c>
      <c r="K53" s="87">
        <f>IFERROR(MAX(0,-J53),"—")</f>
        <v/>
      </c>
      <c r="L53" s="43">
        <f>IF(J53&lt;=0,"WAIT","NO")</f>
        <v/>
      </c>
    </row>
    <row r="54">
      <c r="A54" s="71" t="inlineStr">
        <is>
          <t>Y3</t>
        </is>
      </c>
      <c r="B54" s="87">
        <f>IFERROR(Scenarios!D12-(Income_Statement!D17*(1+Assumptions!$B$50)^MAX(0,2))*$B$6,"—")</f>
        <v/>
      </c>
      <c r="C54" s="87">
        <f>IFERROR(Scenarios!D18*((1+Scenarios!D19/12)^(Scenarios!D20*12)-(1+Scenarios!D19/12)^(3*12))/((1+Scenarios!D19/12)^(Scenarios!D20*12)-1),"—")</f>
        <v/>
      </c>
      <c r="D54" s="87">
        <f>Scenarios!D27*(1+Scenarios!D28)^3</f>
        <v/>
      </c>
      <c r="E54" s="87">
        <f>C54+D54</f>
        <v/>
      </c>
      <c r="F54" s="87">
        <f>IFERROR(B54/$B$10,"—")</f>
        <v/>
      </c>
      <c r="G54" s="87">
        <f>F54*Assumptions!$B$55</f>
        <v/>
      </c>
      <c r="H54" s="87">
        <f>IFERROR(PV($B$9/12,360,-B54/Assumptions!$B$57/12),"—")</f>
        <v/>
      </c>
      <c r="I54" s="87">
        <f>IFERROR(MIN(G54,H54),"—")</f>
        <v/>
      </c>
      <c r="J54" s="86">
        <f>E54-I54</f>
        <v/>
      </c>
      <c r="K54" s="87">
        <f>IFERROR(MAX(0,-J54),"—")</f>
        <v/>
      </c>
      <c r="L54" s="43">
        <f>IF(J54&lt;=0,"WAIT","NO")</f>
        <v/>
      </c>
    </row>
    <row r="55">
      <c r="A55" s="71" t="inlineStr">
        <is>
          <t>Y4</t>
        </is>
      </c>
      <c r="B55" s="87">
        <f>IFERROR(Scenarios!D12*((1+Cash_Flow_10yr!$B$5))^(4-3)-(Income_Statement!D17*(1+Assumptions!$B$50)^MAX(0,3))*$B$6,"—")</f>
        <v/>
      </c>
      <c r="C55" s="87">
        <f>IFERROR(Scenarios!D18*((1+Scenarios!D19/12)^(Scenarios!D20*12)-(1+Scenarios!D19/12)^(4*12))/((1+Scenarios!D19/12)^(Scenarios!D20*12)-1),"—")</f>
        <v/>
      </c>
      <c r="D55" s="87">
        <f>Scenarios!D27*(1+Scenarios!D28)^4</f>
        <v/>
      </c>
      <c r="E55" s="87">
        <f>C55+D55</f>
        <v/>
      </c>
      <c r="F55" s="87">
        <f>IFERROR(B55/$B$10,"—")</f>
        <v/>
      </c>
      <c r="G55" s="87">
        <f>F55*Assumptions!$B$55</f>
        <v/>
      </c>
      <c r="H55" s="87">
        <f>IFERROR(PV($B$9/12,360,-B55/Assumptions!$B$57/12),"—")</f>
        <v/>
      </c>
      <c r="I55" s="87">
        <f>IFERROR(MIN(G55,H55),"—")</f>
        <v/>
      </c>
      <c r="J55" s="86">
        <f>E55-I55</f>
        <v/>
      </c>
      <c r="K55" s="87">
        <f>IFERROR(MAX(0,-J55),"—")</f>
        <v/>
      </c>
      <c r="L55" s="43">
        <f>IF(J55&lt;=0,"WAIT","NO")</f>
        <v/>
      </c>
    </row>
    <row r="56">
      <c r="A56" s="71" t="inlineStr">
        <is>
          <t>Y5</t>
        </is>
      </c>
      <c r="B56" s="87">
        <f>IFERROR(Scenarios!D12*((1+Cash_Flow_10yr!$B$5))^(5-3)-(Income_Statement!D17*(1+Assumptions!$B$50)^MAX(0,4))*$B$6,"—")</f>
        <v/>
      </c>
      <c r="C56" s="87">
        <f>IFERROR(Scenarios!D18*((1+Scenarios!D19/12)^(Scenarios!D20*12)-(1+Scenarios!D19/12)^(5*12))/((1+Scenarios!D19/12)^(Scenarios!D20*12)-1),"—")</f>
        <v/>
      </c>
      <c r="D56" s="87">
        <f>Scenarios!D27*(1+Scenarios!D28)^5</f>
        <v/>
      </c>
      <c r="E56" s="87">
        <f>C56+D56</f>
        <v/>
      </c>
      <c r="F56" s="87">
        <f>IFERROR(B56/$B$10,"—")</f>
        <v/>
      </c>
      <c r="G56" s="87">
        <f>F56*Assumptions!$B$55</f>
        <v/>
      </c>
      <c r="H56" s="87">
        <f>IFERROR(PV($B$9/12,360,-B56/Assumptions!$B$57/12),"—")</f>
        <v/>
      </c>
      <c r="I56" s="87">
        <f>IFERROR(MIN(G56,H56),"—")</f>
        <v/>
      </c>
      <c r="J56" s="86">
        <f>E56-I56</f>
        <v/>
      </c>
      <c r="K56" s="87">
        <f>IFERROR(MAX(0,-J56),"—")</f>
        <v/>
      </c>
      <c r="L56" s="43">
        <f>IF(J56&lt;=0,"YES","NO")</f>
        <v/>
      </c>
    </row>
    <row r="57">
      <c r="A57" s="71" t="inlineStr">
        <is>
          <t>Y6</t>
        </is>
      </c>
      <c r="B57" s="87">
        <f>IFERROR(Scenarios!D12*((1+Cash_Flow_10yr!$B$5))^(6-3)-(Income_Statement!D17*(1+Assumptions!$B$50)^MAX(0,5))*$B$6,"—")</f>
        <v/>
      </c>
      <c r="C57" s="87">
        <f>IFERROR(Scenarios!D18*((1+Scenarios!D19/12)^(Scenarios!D20*12)-(1+Scenarios!D19/12)^(6*12))/((1+Scenarios!D19/12)^(Scenarios!D20*12)-1),"—")</f>
        <v/>
      </c>
      <c r="D57" s="87">
        <f>Scenarios!D27*(1+Scenarios!D28)^6</f>
        <v/>
      </c>
      <c r="E57" s="87">
        <f>C57+D57</f>
        <v/>
      </c>
      <c r="F57" s="87">
        <f>IFERROR(B57/$B$10,"—")</f>
        <v/>
      </c>
      <c r="G57" s="87">
        <f>F57*Assumptions!$B$55</f>
        <v/>
      </c>
      <c r="H57" s="87">
        <f>IFERROR(PV($B$9/12,360,-B57/Assumptions!$B$57/12),"—")</f>
        <v/>
      </c>
      <c r="I57" s="87">
        <f>IFERROR(MIN(G57,H57),"—")</f>
        <v/>
      </c>
      <c r="J57" s="86">
        <f>E57-I57</f>
        <v/>
      </c>
      <c r="K57" s="87">
        <f>IFERROR(MAX(0,-J57),"—")</f>
        <v/>
      </c>
      <c r="L57" s="43">
        <f>IF(J57&lt;=0,"YES","NO")</f>
        <v/>
      </c>
    </row>
    <row r="58">
      <c r="A58" s="71" t="inlineStr">
        <is>
          <t>Y7</t>
        </is>
      </c>
      <c r="B58" s="87">
        <f>IFERROR(Scenarios!D12*((1+Cash_Flow_10yr!$B$5))^(7-3)-(Income_Statement!D17*(1+Assumptions!$B$50)^MAX(0,6))*$B$6,"—")</f>
        <v/>
      </c>
      <c r="C58" s="87">
        <f>IFERROR(Scenarios!D18*((1+Scenarios!D19/12)^(Scenarios!D20*12)-(1+Scenarios!D19/12)^(7*12))/((1+Scenarios!D19/12)^(Scenarios!D20*12)-1),"—")</f>
        <v/>
      </c>
      <c r="D58" s="87">
        <f>Scenarios!D27*(1+Scenarios!D28)^7</f>
        <v/>
      </c>
      <c r="E58" s="87">
        <f>C58+D58</f>
        <v/>
      </c>
      <c r="F58" s="87">
        <f>IFERROR(B58/$B$10,"—")</f>
        <v/>
      </c>
      <c r="G58" s="87">
        <f>F58*Assumptions!$B$55</f>
        <v/>
      </c>
      <c r="H58" s="87">
        <f>IFERROR(PV($B$9/12,360,-B58/Assumptions!$B$57/12),"—")</f>
        <v/>
      </c>
      <c r="I58" s="87">
        <f>IFERROR(MIN(G58,H58),"—")</f>
        <v/>
      </c>
      <c r="J58" s="86">
        <f>E58-I58</f>
        <v/>
      </c>
      <c r="K58" s="87">
        <f>IFERROR(MAX(0,-J58),"—")</f>
        <v/>
      </c>
      <c r="L58" s="43">
        <f>IF(J58&lt;=0,"YES","NO")</f>
        <v/>
      </c>
    </row>
    <row r="59">
      <c r="A59" s="71" t="inlineStr">
        <is>
          <t>Y8</t>
        </is>
      </c>
      <c r="B59" s="87">
        <f>IFERROR(Scenarios!D12*((1+Cash_Flow_10yr!$B$5))^(8-3)-(Income_Statement!D17*(1+Assumptions!$B$50)^MAX(0,7))*$B$6,"—")</f>
        <v/>
      </c>
      <c r="C59" s="87">
        <f>IFERROR(Scenarios!D18*((1+Scenarios!D19/12)^(Scenarios!D20*12)-(1+Scenarios!D19/12)^(8*12))/((1+Scenarios!D19/12)^(Scenarios!D20*12)-1),"—")</f>
        <v/>
      </c>
      <c r="D59" s="87">
        <f>Scenarios!D27*(1+Scenarios!D28)^8</f>
        <v/>
      </c>
      <c r="E59" s="87">
        <f>C59+D59</f>
        <v/>
      </c>
      <c r="F59" s="87">
        <f>IFERROR(B59/$B$10,"—")</f>
        <v/>
      </c>
      <c r="G59" s="87">
        <f>F59*Assumptions!$B$55</f>
        <v/>
      </c>
      <c r="H59" s="87">
        <f>IFERROR(PV($B$9/12,360,-B59/Assumptions!$B$57/12),"—")</f>
        <v/>
      </c>
      <c r="I59" s="87">
        <f>IFERROR(MIN(G59,H59),"—")</f>
        <v/>
      </c>
      <c r="J59" s="86">
        <f>E59-I59</f>
        <v/>
      </c>
      <c r="K59" s="87">
        <f>IFERROR(MAX(0,-J59),"—")</f>
        <v/>
      </c>
      <c r="L59" s="43">
        <f>IF(J59&lt;=0,"YES","NO")</f>
        <v/>
      </c>
    </row>
    <row r="60">
      <c r="A60" s="71" t="inlineStr">
        <is>
          <t>Y9</t>
        </is>
      </c>
      <c r="B60" s="87">
        <f>IFERROR(Scenarios!D12*((1+Cash_Flow_10yr!$B$5))^(9-3)-(Income_Statement!D17*(1+Assumptions!$B$50)^MAX(0,8))*$B$6,"—")</f>
        <v/>
      </c>
      <c r="C60" s="87">
        <f>IFERROR(Scenarios!D18*((1+Scenarios!D19/12)^(Scenarios!D20*12)-(1+Scenarios!D19/12)^(9*12))/((1+Scenarios!D19/12)^(Scenarios!D20*12)-1),"—")</f>
        <v/>
      </c>
      <c r="D60" s="87">
        <f>Scenarios!D27*(1+Scenarios!D28)^9</f>
        <v/>
      </c>
      <c r="E60" s="87">
        <f>C60+D60</f>
        <v/>
      </c>
      <c r="F60" s="87">
        <f>IFERROR(B60/$B$10,"—")</f>
        <v/>
      </c>
      <c r="G60" s="87">
        <f>F60*Assumptions!$B$55</f>
        <v/>
      </c>
      <c r="H60" s="87">
        <f>IFERROR(PV($B$9/12,360,-B60/Assumptions!$B$57/12),"—")</f>
        <v/>
      </c>
      <c r="I60" s="87">
        <f>IFERROR(MIN(G60,H60),"—")</f>
        <v/>
      </c>
      <c r="J60" s="86">
        <f>E60-I60</f>
        <v/>
      </c>
      <c r="K60" s="87">
        <f>IFERROR(MAX(0,-J60),"—")</f>
        <v/>
      </c>
      <c r="L60" s="43">
        <f>IF(J60&lt;=0,"YES","NO")</f>
        <v/>
      </c>
    </row>
    <row r="61">
      <c r="A61" s="71" t="inlineStr">
        <is>
          <t>Y10</t>
        </is>
      </c>
      <c r="B61" s="87">
        <f>IFERROR(Scenarios!D12*((1+Cash_Flow_10yr!$B$5))^(10-3)-(Income_Statement!D17*(1+Assumptions!$B$50)^MAX(0,9))*$B$6,"—")</f>
        <v/>
      </c>
      <c r="C61" s="87">
        <f>IFERROR(Scenarios!D18*((1+Scenarios!D19/12)^(Scenarios!D20*12)-(1+Scenarios!D19/12)^(10*12))/((1+Scenarios!D19/12)^(Scenarios!D20*12)-1),"—")</f>
        <v/>
      </c>
      <c r="D61" s="87">
        <f>Scenarios!D27*(1+Scenarios!D28)^10</f>
        <v/>
      </c>
      <c r="E61" s="87">
        <f>C61+D61</f>
        <v/>
      </c>
      <c r="F61" s="87">
        <f>IFERROR(B61/$B$10,"—")</f>
        <v/>
      </c>
      <c r="G61" s="87">
        <f>F61*Assumptions!$B$55</f>
        <v/>
      </c>
      <c r="H61" s="87">
        <f>IFERROR(PV($B$9/12,360,-B61/Assumptions!$B$57/12),"—")</f>
        <v/>
      </c>
      <c r="I61" s="87">
        <f>IFERROR(MIN(G61,H61),"—")</f>
        <v/>
      </c>
      <c r="J61" s="86">
        <f>E61-I61</f>
        <v/>
      </c>
      <c r="K61" s="87">
        <f>IFERROR(MAX(0,-J61),"—")</f>
        <v/>
      </c>
      <c r="L61" s="43">
        <f>IF(J61&lt;=0,"YES","NO")</f>
        <v/>
      </c>
    </row>
    <row r="62">
      <c r="A62" s="71" t="inlineStr">
        <is>
          <t>Y11</t>
        </is>
      </c>
      <c r="B62" s="87">
        <f>IFERROR(Scenarios!D12*((1+Cash_Flow_10yr!$B$5))^(11-3)-(Income_Statement!D17*(1+Assumptions!$B$50)^MAX(0,10))*$B$6,"—")</f>
        <v/>
      </c>
      <c r="C62" s="87">
        <f>IFERROR(Scenarios!D18*((1+Scenarios!D19/12)^(Scenarios!D20*12)-(1+Scenarios!D19/12)^(11*12))/((1+Scenarios!D19/12)^(Scenarios!D20*12)-1),"—")</f>
        <v/>
      </c>
      <c r="D62" s="87">
        <f>Scenarios!D27*(1+Scenarios!D28)^11</f>
        <v/>
      </c>
      <c r="E62" s="87">
        <f>C62+D62</f>
        <v/>
      </c>
      <c r="F62" s="87">
        <f>IFERROR(B62/$B$10,"—")</f>
        <v/>
      </c>
      <c r="G62" s="87">
        <f>F62*Assumptions!$B$55</f>
        <v/>
      </c>
      <c r="H62" s="87">
        <f>IFERROR(PV($B$9/12,360,-B62/Assumptions!$B$57/12),"—")</f>
        <v/>
      </c>
      <c r="I62" s="87">
        <f>IFERROR(MIN(G62,H62),"—")</f>
        <v/>
      </c>
      <c r="J62" s="86">
        <f>E62-I62</f>
        <v/>
      </c>
      <c r="K62" s="87">
        <f>IFERROR(MAX(0,-J62),"—")</f>
        <v/>
      </c>
      <c r="L62" s="43">
        <f>IF(J62&lt;=0,"YES","NO")</f>
        <v/>
      </c>
    </row>
    <row r="63">
      <c r="A63" s="71" t="inlineStr">
        <is>
          <t>Y12</t>
        </is>
      </c>
      <c r="B63" s="87">
        <f>IFERROR(Scenarios!D12*((1+Cash_Flow_10yr!$B$5))^(12-3)-(Income_Statement!D17*(1+Assumptions!$B$50)^MAX(0,11))*$B$6,"—")</f>
        <v/>
      </c>
      <c r="C63" s="87">
        <f>IFERROR(Scenarios!D18*((1+Scenarios!D19/12)^(Scenarios!D20*12)-(1+Scenarios!D19/12)^(12*12))/((1+Scenarios!D19/12)^(Scenarios!D20*12)-1),"—")</f>
        <v/>
      </c>
      <c r="D63" s="87">
        <f>Scenarios!D27*(1+Scenarios!D28)^12</f>
        <v/>
      </c>
      <c r="E63" s="87">
        <f>C63+D63</f>
        <v/>
      </c>
      <c r="F63" s="87">
        <f>IFERROR(B63/$B$10,"—")</f>
        <v/>
      </c>
      <c r="G63" s="87">
        <f>F63*Assumptions!$B$55</f>
        <v/>
      </c>
      <c r="H63" s="87">
        <f>IFERROR(PV($B$9/12,360,-B63/Assumptions!$B$57/12),"—")</f>
        <v/>
      </c>
      <c r="I63" s="87">
        <f>IFERROR(MIN(G63,H63),"—")</f>
        <v/>
      </c>
      <c r="J63" s="86">
        <f>E63-I63</f>
        <v/>
      </c>
      <c r="K63" s="87">
        <f>IFERROR(MAX(0,-J63),"—")</f>
        <v/>
      </c>
      <c r="L63" s="43">
        <f>IF(J63&lt;=0,"YES","NO")</f>
        <v/>
      </c>
    </row>
    <row r="64">
      <c r="A64" s="71" t="inlineStr">
        <is>
          <t>Y13</t>
        </is>
      </c>
      <c r="B64" s="87">
        <f>IFERROR(Scenarios!D12*((1+Cash_Flow_10yr!$B$5))^(13-3)-(Income_Statement!D17*(1+Assumptions!$B$50)^MAX(0,12))*$B$6,"—")</f>
        <v/>
      </c>
      <c r="C64" s="87">
        <f>IFERROR(Scenarios!D18*((1+Scenarios!D19/12)^(Scenarios!D20*12)-(1+Scenarios!D19/12)^(13*12))/((1+Scenarios!D19/12)^(Scenarios!D20*12)-1),"—")</f>
        <v/>
      </c>
      <c r="D64" s="87">
        <f>Scenarios!D27*(1+Scenarios!D28)^13</f>
        <v/>
      </c>
      <c r="E64" s="87">
        <f>C64+D64</f>
        <v/>
      </c>
      <c r="F64" s="87">
        <f>IFERROR(B64/$B$10,"—")</f>
        <v/>
      </c>
      <c r="G64" s="87">
        <f>F64*Assumptions!$B$55</f>
        <v/>
      </c>
      <c r="H64" s="87">
        <f>IFERROR(PV($B$9/12,360,-B64/Assumptions!$B$57/12),"—")</f>
        <v/>
      </c>
      <c r="I64" s="87">
        <f>IFERROR(MIN(G64,H64),"—")</f>
        <v/>
      </c>
      <c r="J64" s="86">
        <f>E64-I64</f>
        <v/>
      </c>
      <c r="K64" s="87">
        <f>IFERROR(MAX(0,-J64),"—")</f>
        <v/>
      </c>
      <c r="L64" s="43">
        <f>IF(J64&lt;=0,"YES","NO")</f>
        <v/>
      </c>
    </row>
    <row r="65">
      <c r="A65" s="71" t="inlineStr">
        <is>
          <t>Y14</t>
        </is>
      </c>
      <c r="B65" s="87">
        <f>IFERROR(Scenarios!D12*((1+Cash_Flow_10yr!$B$5))^(14-3)-(Income_Statement!D17*(1+Assumptions!$B$50)^MAX(0,13))*$B$6,"—")</f>
        <v/>
      </c>
      <c r="C65" s="87">
        <f>IFERROR(Scenarios!D18*((1+Scenarios!D19/12)^(Scenarios!D20*12)-(1+Scenarios!D19/12)^(14*12))/((1+Scenarios!D19/12)^(Scenarios!D20*12)-1),"—")</f>
        <v/>
      </c>
      <c r="D65" s="87">
        <f>Scenarios!D27*(1+Scenarios!D28)^14</f>
        <v/>
      </c>
      <c r="E65" s="87">
        <f>C65+D65</f>
        <v/>
      </c>
      <c r="F65" s="87">
        <f>IFERROR(B65/$B$10,"—")</f>
        <v/>
      </c>
      <c r="G65" s="87">
        <f>F65*Assumptions!$B$55</f>
        <v/>
      </c>
      <c r="H65" s="87">
        <f>IFERROR(PV($B$9/12,360,-B65/Assumptions!$B$57/12),"—")</f>
        <v/>
      </c>
      <c r="I65" s="87">
        <f>IFERROR(MIN(G65,H65),"—")</f>
        <v/>
      </c>
      <c r="J65" s="86">
        <f>E65-I65</f>
        <v/>
      </c>
      <c r="K65" s="87">
        <f>IFERROR(MAX(0,-J65),"—")</f>
        <v/>
      </c>
      <c r="L65" s="43">
        <f>IF(J65&lt;=0,"YES","NO")</f>
        <v/>
      </c>
    </row>
    <row r="66">
      <c r="A66" s="71" t="inlineStr">
        <is>
          <t>Y15</t>
        </is>
      </c>
      <c r="B66" s="87">
        <f>IFERROR(Scenarios!D12*((1+Cash_Flow_10yr!$B$5))^(15-3)-(Income_Statement!D17*(1+Assumptions!$B$50)^MAX(0,14))*$B$6,"—")</f>
        <v/>
      </c>
      <c r="C66" s="87">
        <f>IFERROR(Scenarios!D18*((1+Scenarios!D19/12)^(Scenarios!D20*12)-(1+Scenarios!D19/12)^(15*12))/((1+Scenarios!D19/12)^(Scenarios!D20*12)-1),"—")</f>
        <v/>
      </c>
      <c r="D66" s="87">
        <f>Scenarios!D27*(1+Scenarios!D28)^15</f>
        <v/>
      </c>
      <c r="E66" s="87">
        <f>C66+D66</f>
        <v/>
      </c>
      <c r="F66" s="87">
        <f>IFERROR(B66/$B$10,"—")</f>
        <v/>
      </c>
      <c r="G66" s="87">
        <f>F66*Assumptions!$B$55</f>
        <v/>
      </c>
      <c r="H66" s="87">
        <f>IFERROR(PV($B$9/12,360,-B66/Assumptions!$B$57/12),"—")</f>
        <v/>
      </c>
      <c r="I66" s="87">
        <f>IFERROR(MIN(G66,H66),"—")</f>
        <v/>
      </c>
      <c r="J66" s="86">
        <f>E66-I66</f>
        <v/>
      </c>
      <c r="K66" s="87">
        <f>IFERROR(MAX(0,-J66),"—")</f>
        <v/>
      </c>
      <c r="L66" s="43">
        <f>IF(J66&lt;=0,"YES","NO")</f>
        <v/>
      </c>
    </row>
    <row r="67" ht="27.75" customHeight="1">
      <c r="A67" s="45" t="inlineStr">
        <is>
          <t>EARLIEST CLEAN REFI YEAR →</t>
        </is>
      </c>
      <c r="C67" s="46">
        <f>IFERROR(INDEX($A$52:$A$66,MATCH("YES",$L$52:$L$66,0)),"None within 15 yrs")</f>
        <v/>
      </c>
      <c r="E67" s="47" t="inlineStr">
        <is>
          <t>Cash-Out at that year:</t>
        </is>
      </c>
      <c r="G67" s="98">
        <f>IFERROR(INDEX($K$52:$K$66,MATCH("YES",$L$52:$L$66,0)),0)</f>
        <v/>
      </c>
    </row>
    <row r="69" ht="21.75" customHeight="1">
      <c r="A69" s="8" t="inlineStr">
        <is>
          <t>SECTION 4 — STRESS C: Refi Rate +100bps  (rates move against you between now and refi)</t>
        </is>
      </c>
    </row>
    <row r="70" ht="27.75" customHeight="1">
      <c r="A70" s="40" t="inlineStr">
        <is>
          <t>Year</t>
        </is>
      </c>
      <c r="B70" s="40" t="inlineStr">
        <is>
          <t>NOI</t>
        </is>
      </c>
      <c r="C70" s="40" t="inlineStr">
        <is>
          <t>Senior Bal</t>
        </is>
      </c>
      <c r="D70" s="40" t="inlineStr">
        <is>
          <t>Carry Bal</t>
        </is>
      </c>
      <c r="E70" s="40" t="inlineStr">
        <is>
          <t>Stack</t>
        </is>
      </c>
      <c r="F70" s="40" t="inlineStr">
        <is>
          <t>Asset Value</t>
        </is>
      </c>
      <c r="G70" s="40" t="inlineStr">
        <is>
          <t>Max Refi (LTV)</t>
        </is>
      </c>
      <c r="H70" s="40" t="inlineStr">
        <is>
          <t>Max Refi (DSCR)</t>
        </is>
      </c>
      <c r="I70" s="40" t="inlineStr">
        <is>
          <t>Max Refi</t>
        </is>
      </c>
      <c r="J70" s="40" t="inlineStr">
        <is>
          <t>Refi Gap</t>
        </is>
      </c>
      <c r="K70" s="40" t="inlineStr">
        <is>
          <t>Cash-Out</t>
        </is>
      </c>
      <c r="L70" s="40" t="inlineStr">
        <is>
          <t>OK TO REFI?</t>
        </is>
      </c>
    </row>
    <row r="71">
      <c r="A71" s="71" t="inlineStr">
        <is>
          <t>Y1</t>
        </is>
      </c>
      <c r="B71" s="87">
        <f>Scenarios!D11</f>
        <v/>
      </c>
      <c r="C71" s="87">
        <f>IFERROR(Scenarios!D18*((1+Scenarios!D19/12)^(Scenarios!D20*12)-(1+Scenarios!D19/12)^(1*12))/((1+Scenarios!D19/12)^(Scenarios!D20*12)-1),"—")</f>
        <v/>
      </c>
      <c r="D71" s="87">
        <f>Scenarios!D27*(1+Scenarios!D28)^1</f>
        <v/>
      </c>
      <c r="E71" s="87">
        <f>C71+D71</f>
        <v/>
      </c>
      <c r="F71" s="87">
        <f>IFERROR(B71/$B$10,"—")</f>
        <v/>
      </c>
      <c r="G71" s="87">
        <f>F71*Assumptions!$B$55</f>
        <v/>
      </c>
      <c r="H71" s="87">
        <f>IFERROR(PV(($B$9+$B$7)/12,360,-B71/Assumptions!$B$57/12),"—")</f>
        <v/>
      </c>
      <c r="I71" s="87">
        <f>IFERROR(MIN(G71,H71),"—")</f>
        <v/>
      </c>
      <c r="J71" s="86">
        <f>E71-I71</f>
        <v/>
      </c>
      <c r="K71" s="87">
        <f>IFERROR(MAX(0,-J71),"—")</f>
        <v/>
      </c>
      <c r="L71" s="43">
        <f>IF(J71&lt;=0,"WAIT","NO")</f>
        <v/>
      </c>
    </row>
    <row r="72">
      <c r="A72" s="71" t="inlineStr">
        <is>
          <t>Y2</t>
        </is>
      </c>
      <c r="B72" s="87">
        <f>IFERROR((Scenarios!D11+Scenarios!D12)/2,"—")</f>
        <v/>
      </c>
      <c r="C72" s="87">
        <f>IFERROR(Scenarios!D18*((1+Scenarios!D19/12)^(Scenarios!D20*12)-(1+Scenarios!D19/12)^(2*12))/((1+Scenarios!D19/12)^(Scenarios!D20*12)-1),"—")</f>
        <v/>
      </c>
      <c r="D72" s="87">
        <f>Scenarios!D27*(1+Scenarios!D28)^2</f>
        <v/>
      </c>
      <c r="E72" s="87">
        <f>C72+D72</f>
        <v/>
      </c>
      <c r="F72" s="87">
        <f>IFERROR(B72/$B$10,"—")</f>
        <v/>
      </c>
      <c r="G72" s="87">
        <f>F72*Assumptions!$B$55</f>
        <v/>
      </c>
      <c r="H72" s="87">
        <f>IFERROR(PV(($B$9+$B$7)/12,360,-B72/Assumptions!$B$57/12),"—")</f>
        <v/>
      </c>
      <c r="I72" s="87">
        <f>IFERROR(MIN(G72,H72),"—")</f>
        <v/>
      </c>
      <c r="J72" s="86">
        <f>E72-I72</f>
        <v/>
      </c>
      <c r="K72" s="87">
        <f>IFERROR(MAX(0,-J72),"—")</f>
        <v/>
      </c>
      <c r="L72" s="43">
        <f>IF(J72&lt;=0,"WAIT","NO")</f>
        <v/>
      </c>
    </row>
    <row r="73">
      <c r="A73" s="71" t="inlineStr">
        <is>
          <t>Y3</t>
        </is>
      </c>
      <c r="B73" s="87">
        <f>Scenarios!D12</f>
        <v/>
      </c>
      <c r="C73" s="87">
        <f>IFERROR(Scenarios!D18*((1+Scenarios!D19/12)^(Scenarios!D20*12)-(1+Scenarios!D19/12)^(3*12))/((1+Scenarios!D19/12)^(Scenarios!D20*12)-1),"—")</f>
        <v/>
      </c>
      <c r="D73" s="87">
        <f>Scenarios!D27*(1+Scenarios!D28)^3</f>
        <v/>
      </c>
      <c r="E73" s="87">
        <f>C73+D73</f>
        <v/>
      </c>
      <c r="F73" s="87">
        <f>IFERROR(B73/$B$10,"—")</f>
        <v/>
      </c>
      <c r="G73" s="87">
        <f>F73*Assumptions!$B$55</f>
        <v/>
      </c>
      <c r="H73" s="87">
        <f>IFERROR(PV(($B$9+$B$7)/12,360,-B73/Assumptions!$B$57/12),"—")</f>
        <v/>
      </c>
      <c r="I73" s="87">
        <f>IFERROR(MIN(G73,H73),"—")</f>
        <v/>
      </c>
      <c r="J73" s="86">
        <f>E73-I73</f>
        <v/>
      </c>
      <c r="K73" s="87">
        <f>IFERROR(MAX(0,-J73),"—")</f>
        <v/>
      </c>
      <c r="L73" s="43">
        <f>IF(J73&lt;=0,"WAIT","NO")</f>
        <v/>
      </c>
    </row>
    <row r="74">
      <c r="A74" s="71" t="inlineStr">
        <is>
          <t>Y4</t>
        </is>
      </c>
      <c r="B74" s="87">
        <f>Scenarios!D12*((1+Cash_Flow_10yr!$B$5))^(4-3)</f>
        <v/>
      </c>
      <c r="C74" s="87">
        <f>IFERROR(Scenarios!D18*((1+Scenarios!D19/12)^(Scenarios!D20*12)-(1+Scenarios!D19/12)^(4*12))/((1+Scenarios!D19/12)^(Scenarios!D20*12)-1),"—")</f>
        <v/>
      </c>
      <c r="D74" s="87">
        <f>Scenarios!D27*(1+Scenarios!D28)^4</f>
        <v/>
      </c>
      <c r="E74" s="87">
        <f>C74+D74</f>
        <v/>
      </c>
      <c r="F74" s="87">
        <f>IFERROR(B74/$B$10,"—")</f>
        <v/>
      </c>
      <c r="G74" s="87">
        <f>F74*Assumptions!$B$55</f>
        <v/>
      </c>
      <c r="H74" s="87">
        <f>IFERROR(PV(($B$9+$B$7)/12,360,-B74/Assumptions!$B$57/12),"—")</f>
        <v/>
      </c>
      <c r="I74" s="87">
        <f>IFERROR(MIN(G74,H74),"—")</f>
        <v/>
      </c>
      <c r="J74" s="86">
        <f>E74-I74</f>
        <v/>
      </c>
      <c r="K74" s="87">
        <f>IFERROR(MAX(0,-J74),"—")</f>
        <v/>
      </c>
      <c r="L74" s="43">
        <f>IF(J74&lt;=0,"WAIT","NO")</f>
        <v/>
      </c>
    </row>
    <row r="75">
      <c r="A75" s="71" t="inlineStr">
        <is>
          <t>Y5</t>
        </is>
      </c>
      <c r="B75" s="87">
        <f>Scenarios!D12*((1+Cash_Flow_10yr!$B$5))^(5-3)</f>
        <v/>
      </c>
      <c r="C75" s="87">
        <f>IFERROR(Scenarios!D18*((1+Scenarios!D19/12)^(Scenarios!D20*12)-(1+Scenarios!D19/12)^(5*12))/((1+Scenarios!D19/12)^(Scenarios!D20*12)-1),"—")</f>
        <v/>
      </c>
      <c r="D75" s="87">
        <f>Scenarios!D27*(1+Scenarios!D28)^5</f>
        <v/>
      </c>
      <c r="E75" s="87">
        <f>C75+D75</f>
        <v/>
      </c>
      <c r="F75" s="87">
        <f>IFERROR(B75/$B$10,"—")</f>
        <v/>
      </c>
      <c r="G75" s="87">
        <f>F75*Assumptions!$B$55</f>
        <v/>
      </c>
      <c r="H75" s="87">
        <f>IFERROR(PV(($B$9+$B$7)/12,360,-B75/Assumptions!$B$57/12),"—")</f>
        <v/>
      </c>
      <c r="I75" s="87">
        <f>IFERROR(MIN(G75,H75),"—")</f>
        <v/>
      </c>
      <c r="J75" s="86">
        <f>E75-I75</f>
        <v/>
      </c>
      <c r="K75" s="87">
        <f>IFERROR(MAX(0,-J75),"—")</f>
        <v/>
      </c>
      <c r="L75" s="43">
        <f>IF(J75&lt;=0,"YES","NO")</f>
        <v/>
      </c>
    </row>
    <row r="76">
      <c r="A76" s="71" t="inlineStr">
        <is>
          <t>Y6</t>
        </is>
      </c>
      <c r="B76" s="87">
        <f>Scenarios!D12*((1+Cash_Flow_10yr!$B$5))^(6-3)</f>
        <v/>
      </c>
      <c r="C76" s="87">
        <f>IFERROR(Scenarios!D18*((1+Scenarios!D19/12)^(Scenarios!D20*12)-(1+Scenarios!D19/12)^(6*12))/((1+Scenarios!D19/12)^(Scenarios!D20*12)-1),"—")</f>
        <v/>
      </c>
      <c r="D76" s="87">
        <f>Scenarios!D27*(1+Scenarios!D28)^6</f>
        <v/>
      </c>
      <c r="E76" s="87">
        <f>C76+D76</f>
        <v/>
      </c>
      <c r="F76" s="87">
        <f>IFERROR(B76/$B$10,"—")</f>
        <v/>
      </c>
      <c r="G76" s="87">
        <f>F76*Assumptions!$B$55</f>
        <v/>
      </c>
      <c r="H76" s="87">
        <f>IFERROR(PV(($B$9+$B$7)/12,360,-B76/Assumptions!$B$57/12),"—")</f>
        <v/>
      </c>
      <c r="I76" s="87">
        <f>IFERROR(MIN(G76,H76),"—")</f>
        <v/>
      </c>
      <c r="J76" s="86">
        <f>E76-I76</f>
        <v/>
      </c>
      <c r="K76" s="87">
        <f>IFERROR(MAX(0,-J76),"—")</f>
        <v/>
      </c>
      <c r="L76" s="43">
        <f>IF(J76&lt;=0,"YES","NO")</f>
        <v/>
      </c>
    </row>
    <row r="77">
      <c r="A77" s="71" t="inlineStr">
        <is>
          <t>Y7</t>
        </is>
      </c>
      <c r="B77" s="87">
        <f>Scenarios!D12*((1+Cash_Flow_10yr!$B$5))^(7-3)</f>
        <v/>
      </c>
      <c r="C77" s="87">
        <f>IFERROR(Scenarios!D18*((1+Scenarios!D19/12)^(Scenarios!D20*12)-(1+Scenarios!D19/12)^(7*12))/((1+Scenarios!D19/12)^(Scenarios!D20*12)-1),"—")</f>
        <v/>
      </c>
      <c r="D77" s="87">
        <f>Scenarios!D27*(1+Scenarios!D28)^7</f>
        <v/>
      </c>
      <c r="E77" s="87">
        <f>C77+D77</f>
        <v/>
      </c>
      <c r="F77" s="87">
        <f>IFERROR(B77/$B$10,"—")</f>
        <v/>
      </c>
      <c r="G77" s="87">
        <f>F77*Assumptions!$B$55</f>
        <v/>
      </c>
      <c r="H77" s="87">
        <f>IFERROR(PV(($B$9+$B$7)/12,360,-B77/Assumptions!$B$57/12),"—")</f>
        <v/>
      </c>
      <c r="I77" s="87">
        <f>IFERROR(MIN(G77,H77),"—")</f>
        <v/>
      </c>
      <c r="J77" s="86">
        <f>E77-I77</f>
        <v/>
      </c>
      <c r="K77" s="87">
        <f>IFERROR(MAX(0,-J77),"—")</f>
        <v/>
      </c>
      <c r="L77" s="43">
        <f>IF(J77&lt;=0,"YES","NO")</f>
        <v/>
      </c>
    </row>
    <row r="78">
      <c r="A78" s="71" t="inlineStr">
        <is>
          <t>Y8</t>
        </is>
      </c>
      <c r="B78" s="87">
        <f>Scenarios!D12*((1+Cash_Flow_10yr!$B$5))^(8-3)</f>
        <v/>
      </c>
      <c r="C78" s="87">
        <f>IFERROR(Scenarios!D18*((1+Scenarios!D19/12)^(Scenarios!D20*12)-(1+Scenarios!D19/12)^(8*12))/((1+Scenarios!D19/12)^(Scenarios!D20*12)-1),"—")</f>
        <v/>
      </c>
      <c r="D78" s="87">
        <f>Scenarios!D27*(1+Scenarios!D28)^8</f>
        <v/>
      </c>
      <c r="E78" s="87">
        <f>C78+D78</f>
        <v/>
      </c>
      <c r="F78" s="87">
        <f>IFERROR(B78/$B$10,"—")</f>
        <v/>
      </c>
      <c r="G78" s="87">
        <f>F78*Assumptions!$B$55</f>
        <v/>
      </c>
      <c r="H78" s="87">
        <f>IFERROR(PV(($B$9+$B$7)/12,360,-B78/Assumptions!$B$57/12),"—")</f>
        <v/>
      </c>
      <c r="I78" s="87">
        <f>IFERROR(MIN(G78,H78),"—")</f>
        <v/>
      </c>
      <c r="J78" s="86">
        <f>E78-I78</f>
        <v/>
      </c>
      <c r="K78" s="87">
        <f>IFERROR(MAX(0,-J78),"—")</f>
        <v/>
      </c>
      <c r="L78" s="43">
        <f>IF(J78&lt;=0,"YES","NO")</f>
        <v/>
      </c>
    </row>
    <row r="79">
      <c r="A79" s="71" t="inlineStr">
        <is>
          <t>Y9</t>
        </is>
      </c>
      <c r="B79" s="87">
        <f>Scenarios!D12*((1+Cash_Flow_10yr!$B$5))^(9-3)</f>
        <v/>
      </c>
      <c r="C79" s="87">
        <f>IFERROR(Scenarios!D18*((1+Scenarios!D19/12)^(Scenarios!D20*12)-(1+Scenarios!D19/12)^(9*12))/((1+Scenarios!D19/12)^(Scenarios!D20*12)-1),"—")</f>
        <v/>
      </c>
      <c r="D79" s="87">
        <f>Scenarios!D27*(1+Scenarios!D28)^9</f>
        <v/>
      </c>
      <c r="E79" s="87">
        <f>C79+D79</f>
        <v/>
      </c>
      <c r="F79" s="87">
        <f>IFERROR(B79/$B$10,"—")</f>
        <v/>
      </c>
      <c r="G79" s="87">
        <f>F79*Assumptions!$B$55</f>
        <v/>
      </c>
      <c r="H79" s="87">
        <f>IFERROR(PV(($B$9+$B$7)/12,360,-B79/Assumptions!$B$57/12),"—")</f>
        <v/>
      </c>
      <c r="I79" s="87">
        <f>IFERROR(MIN(G79,H79),"—")</f>
        <v/>
      </c>
      <c r="J79" s="86">
        <f>E79-I79</f>
        <v/>
      </c>
      <c r="K79" s="87">
        <f>IFERROR(MAX(0,-J79),"—")</f>
        <v/>
      </c>
      <c r="L79" s="43">
        <f>IF(J79&lt;=0,"YES","NO")</f>
        <v/>
      </c>
    </row>
    <row r="80">
      <c r="A80" s="71" t="inlineStr">
        <is>
          <t>Y10</t>
        </is>
      </c>
      <c r="B80" s="87">
        <f>Scenarios!D12*((1+Cash_Flow_10yr!$B$5))^(10-3)</f>
        <v/>
      </c>
      <c r="C80" s="87">
        <f>IFERROR(Scenarios!D18*((1+Scenarios!D19/12)^(Scenarios!D20*12)-(1+Scenarios!D19/12)^(10*12))/((1+Scenarios!D19/12)^(Scenarios!D20*12)-1),"—")</f>
        <v/>
      </c>
      <c r="D80" s="87">
        <f>Scenarios!D27*(1+Scenarios!D28)^10</f>
        <v/>
      </c>
      <c r="E80" s="87">
        <f>C80+D80</f>
        <v/>
      </c>
      <c r="F80" s="87">
        <f>IFERROR(B80/$B$10,"—")</f>
        <v/>
      </c>
      <c r="G80" s="87">
        <f>F80*Assumptions!$B$55</f>
        <v/>
      </c>
      <c r="H80" s="87">
        <f>IFERROR(PV(($B$9+$B$7)/12,360,-B80/Assumptions!$B$57/12),"—")</f>
        <v/>
      </c>
      <c r="I80" s="87">
        <f>IFERROR(MIN(G80,H80),"—")</f>
        <v/>
      </c>
      <c r="J80" s="86">
        <f>E80-I80</f>
        <v/>
      </c>
      <c r="K80" s="87">
        <f>IFERROR(MAX(0,-J80),"—")</f>
        <v/>
      </c>
      <c r="L80" s="43">
        <f>IF(J80&lt;=0,"YES","NO")</f>
        <v/>
      </c>
    </row>
    <row r="81">
      <c r="A81" s="71" t="inlineStr">
        <is>
          <t>Y11</t>
        </is>
      </c>
      <c r="B81" s="87">
        <f>Scenarios!D12*((1+Cash_Flow_10yr!$B$5))^(11-3)</f>
        <v/>
      </c>
      <c r="C81" s="87">
        <f>IFERROR(Scenarios!D18*((1+Scenarios!D19/12)^(Scenarios!D20*12)-(1+Scenarios!D19/12)^(11*12))/((1+Scenarios!D19/12)^(Scenarios!D20*12)-1),"—")</f>
        <v/>
      </c>
      <c r="D81" s="87">
        <f>Scenarios!D27*(1+Scenarios!D28)^11</f>
        <v/>
      </c>
      <c r="E81" s="87">
        <f>C81+D81</f>
        <v/>
      </c>
      <c r="F81" s="87">
        <f>IFERROR(B81/$B$10,"—")</f>
        <v/>
      </c>
      <c r="G81" s="87">
        <f>F81*Assumptions!$B$55</f>
        <v/>
      </c>
      <c r="H81" s="87">
        <f>IFERROR(PV(($B$9+$B$7)/12,360,-B81/Assumptions!$B$57/12),"—")</f>
        <v/>
      </c>
      <c r="I81" s="87">
        <f>IFERROR(MIN(G81,H81),"—")</f>
        <v/>
      </c>
      <c r="J81" s="86">
        <f>E81-I81</f>
        <v/>
      </c>
      <c r="K81" s="87">
        <f>IFERROR(MAX(0,-J81),"—")</f>
        <v/>
      </c>
      <c r="L81" s="43">
        <f>IF(J81&lt;=0,"YES","NO")</f>
        <v/>
      </c>
    </row>
    <row r="82">
      <c r="A82" s="71" t="inlineStr">
        <is>
          <t>Y12</t>
        </is>
      </c>
      <c r="B82" s="87">
        <f>Scenarios!D12*((1+Cash_Flow_10yr!$B$5))^(12-3)</f>
        <v/>
      </c>
      <c r="C82" s="87">
        <f>IFERROR(Scenarios!D18*((1+Scenarios!D19/12)^(Scenarios!D20*12)-(1+Scenarios!D19/12)^(12*12))/((1+Scenarios!D19/12)^(Scenarios!D20*12)-1),"—")</f>
        <v/>
      </c>
      <c r="D82" s="87">
        <f>Scenarios!D27*(1+Scenarios!D28)^12</f>
        <v/>
      </c>
      <c r="E82" s="87">
        <f>C82+D82</f>
        <v/>
      </c>
      <c r="F82" s="87">
        <f>IFERROR(B82/$B$10,"—")</f>
        <v/>
      </c>
      <c r="G82" s="87">
        <f>F82*Assumptions!$B$55</f>
        <v/>
      </c>
      <c r="H82" s="87">
        <f>IFERROR(PV(($B$9+$B$7)/12,360,-B82/Assumptions!$B$57/12),"—")</f>
        <v/>
      </c>
      <c r="I82" s="87">
        <f>IFERROR(MIN(G82,H82),"—")</f>
        <v/>
      </c>
      <c r="J82" s="86">
        <f>E82-I82</f>
        <v/>
      </c>
      <c r="K82" s="87">
        <f>IFERROR(MAX(0,-J82),"—")</f>
        <v/>
      </c>
      <c r="L82" s="43">
        <f>IF(J82&lt;=0,"YES","NO")</f>
        <v/>
      </c>
    </row>
    <row r="83">
      <c r="A83" s="71" t="inlineStr">
        <is>
          <t>Y13</t>
        </is>
      </c>
      <c r="B83" s="87">
        <f>Scenarios!D12*((1+Cash_Flow_10yr!$B$5))^(13-3)</f>
        <v/>
      </c>
      <c r="C83" s="87">
        <f>IFERROR(Scenarios!D18*((1+Scenarios!D19/12)^(Scenarios!D20*12)-(1+Scenarios!D19/12)^(13*12))/((1+Scenarios!D19/12)^(Scenarios!D20*12)-1),"—")</f>
        <v/>
      </c>
      <c r="D83" s="87">
        <f>Scenarios!D27*(1+Scenarios!D28)^13</f>
        <v/>
      </c>
      <c r="E83" s="87">
        <f>C83+D83</f>
        <v/>
      </c>
      <c r="F83" s="87">
        <f>IFERROR(B83/$B$10,"—")</f>
        <v/>
      </c>
      <c r="G83" s="87">
        <f>F83*Assumptions!$B$55</f>
        <v/>
      </c>
      <c r="H83" s="87">
        <f>IFERROR(PV(($B$9+$B$7)/12,360,-B83/Assumptions!$B$57/12),"—")</f>
        <v/>
      </c>
      <c r="I83" s="87">
        <f>IFERROR(MIN(G83,H83),"—")</f>
        <v/>
      </c>
      <c r="J83" s="86">
        <f>E83-I83</f>
        <v/>
      </c>
      <c r="K83" s="87">
        <f>IFERROR(MAX(0,-J83),"—")</f>
        <v/>
      </c>
      <c r="L83" s="43">
        <f>IF(J83&lt;=0,"YES","NO")</f>
        <v/>
      </c>
    </row>
    <row r="84">
      <c r="A84" s="71" t="inlineStr">
        <is>
          <t>Y14</t>
        </is>
      </c>
      <c r="B84" s="87">
        <f>Scenarios!D12*((1+Cash_Flow_10yr!$B$5))^(14-3)</f>
        <v/>
      </c>
      <c r="C84" s="87">
        <f>IFERROR(Scenarios!D18*((1+Scenarios!D19/12)^(Scenarios!D20*12)-(1+Scenarios!D19/12)^(14*12))/((1+Scenarios!D19/12)^(Scenarios!D20*12)-1),"—")</f>
        <v/>
      </c>
      <c r="D84" s="87">
        <f>Scenarios!D27*(1+Scenarios!D28)^14</f>
        <v/>
      </c>
      <c r="E84" s="87">
        <f>C84+D84</f>
        <v/>
      </c>
      <c r="F84" s="87">
        <f>IFERROR(B84/$B$10,"—")</f>
        <v/>
      </c>
      <c r="G84" s="87">
        <f>F84*Assumptions!$B$55</f>
        <v/>
      </c>
      <c r="H84" s="87">
        <f>IFERROR(PV(($B$9+$B$7)/12,360,-B84/Assumptions!$B$57/12),"—")</f>
        <v/>
      </c>
      <c r="I84" s="87">
        <f>IFERROR(MIN(G84,H84),"—")</f>
        <v/>
      </c>
      <c r="J84" s="86">
        <f>E84-I84</f>
        <v/>
      </c>
      <c r="K84" s="87">
        <f>IFERROR(MAX(0,-J84),"—")</f>
        <v/>
      </c>
      <c r="L84" s="43">
        <f>IF(J84&lt;=0,"YES","NO")</f>
        <v/>
      </c>
    </row>
    <row r="85">
      <c r="A85" s="71" t="inlineStr">
        <is>
          <t>Y15</t>
        </is>
      </c>
      <c r="B85" s="87">
        <f>Scenarios!D12*((1+Cash_Flow_10yr!$B$5))^(15-3)</f>
        <v/>
      </c>
      <c r="C85" s="87">
        <f>IFERROR(Scenarios!D18*((1+Scenarios!D19/12)^(Scenarios!D20*12)-(1+Scenarios!D19/12)^(15*12))/((1+Scenarios!D19/12)^(Scenarios!D20*12)-1),"—")</f>
        <v/>
      </c>
      <c r="D85" s="87">
        <f>Scenarios!D27*(1+Scenarios!D28)^15</f>
        <v/>
      </c>
      <c r="E85" s="87">
        <f>C85+D85</f>
        <v/>
      </c>
      <c r="F85" s="87">
        <f>IFERROR(B85/$B$10,"—")</f>
        <v/>
      </c>
      <c r="G85" s="87">
        <f>F85*Assumptions!$B$55</f>
        <v/>
      </c>
      <c r="H85" s="87">
        <f>IFERROR(PV(($B$9+$B$7)/12,360,-B85/Assumptions!$B$57/12),"—")</f>
        <v/>
      </c>
      <c r="I85" s="87">
        <f>IFERROR(MIN(G85,H85),"—")</f>
        <v/>
      </c>
      <c r="J85" s="86">
        <f>E85-I85</f>
        <v/>
      </c>
      <c r="K85" s="87">
        <f>IFERROR(MAX(0,-J85),"—")</f>
        <v/>
      </c>
      <c r="L85" s="43">
        <f>IF(J85&lt;=0,"YES","NO")</f>
        <v/>
      </c>
    </row>
    <row r="86" ht="27.75" customHeight="1">
      <c r="A86" s="45" t="inlineStr">
        <is>
          <t>EARLIEST CLEAN REFI YEAR →</t>
        </is>
      </c>
      <c r="C86" s="46">
        <f>IFERROR(INDEX($A$71:$A$85,MATCH("YES",$L$71:$L$85,0)),"None within 15 yrs")</f>
        <v/>
      </c>
      <c r="E86" s="47" t="inlineStr">
        <is>
          <t>Cash-Out at that year:</t>
        </is>
      </c>
      <c r="G86" s="98">
        <f>IFERROR(INDEX($K$71:$K$85,MATCH("YES",$L$71:$L$85,0)),0)</f>
        <v/>
      </c>
    </row>
    <row r="88" ht="21.75" customHeight="1">
      <c r="A88" s="8" t="inlineStr">
        <is>
          <t>SECTION 5 — STRESS D: Exit Cap +50bps  (cap rate widens, asset value compresses)</t>
        </is>
      </c>
    </row>
    <row r="89" ht="27.75" customHeight="1">
      <c r="A89" s="40" t="inlineStr">
        <is>
          <t>Year</t>
        </is>
      </c>
      <c r="B89" s="40" t="inlineStr">
        <is>
          <t>NOI</t>
        </is>
      </c>
      <c r="C89" s="40" t="inlineStr">
        <is>
          <t>Senior Bal</t>
        </is>
      </c>
      <c r="D89" s="40" t="inlineStr">
        <is>
          <t>Carry Bal</t>
        </is>
      </c>
      <c r="E89" s="40" t="inlineStr">
        <is>
          <t>Stack</t>
        </is>
      </c>
      <c r="F89" s="40" t="inlineStr">
        <is>
          <t>Asset Value</t>
        </is>
      </c>
      <c r="G89" s="40" t="inlineStr">
        <is>
          <t>Max Refi (LTV)</t>
        </is>
      </c>
      <c r="H89" s="40" t="inlineStr">
        <is>
          <t>Max Refi (DSCR)</t>
        </is>
      </c>
      <c r="I89" s="40" t="inlineStr">
        <is>
          <t>Max Refi</t>
        </is>
      </c>
      <c r="J89" s="40" t="inlineStr">
        <is>
          <t>Refi Gap</t>
        </is>
      </c>
      <c r="K89" s="40" t="inlineStr">
        <is>
          <t>Cash-Out</t>
        </is>
      </c>
      <c r="L89" s="40" t="inlineStr">
        <is>
          <t>OK TO REFI?</t>
        </is>
      </c>
    </row>
    <row r="90">
      <c r="A90" s="71" t="inlineStr">
        <is>
          <t>Y1</t>
        </is>
      </c>
      <c r="B90" s="87">
        <f>Scenarios!D11</f>
        <v/>
      </c>
      <c r="C90" s="87">
        <f>IFERROR(Scenarios!D18*((1+Scenarios!D19/12)^(Scenarios!D20*12)-(1+Scenarios!D19/12)^(1*12))/((1+Scenarios!D19/12)^(Scenarios!D20*12)-1),"—")</f>
        <v/>
      </c>
      <c r="D90" s="87">
        <f>Scenarios!D27*(1+Scenarios!D28)^1</f>
        <v/>
      </c>
      <c r="E90" s="87">
        <f>C90+D90</f>
        <v/>
      </c>
      <c r="F90" s="87">
        <f>IFERROR(B90/($B$10+$B$8),"—")</f>
        <v/>
      </c>
      <c r="G90" s="87">
        <f>F90*Assumptions!$B$55</f>
        <v/>
      </c>
      <c r="H90" s="87">
        <f>IFERROR(PV($B$9/12,360,-B90/Assumptions!$B$57/12),"—")</f>
        <v/>
      </c>
      <c r="I90" s="87">
        <f>IFERROR(MIN(G90,H90),"—")</f>
        <v/>
      </c>
      <c r="J90" s="86">
        <f>E90-I90</f>
        <v/>
      </c>
      <c r="K90" s="87">
        <f>IFERROR(MAX(0,-J90),"—")</f>
        <v/>
      </c>
      <c r="L90" s="43">
        <f>IF(J90&lt;=0,"WAIT","NO")</f>
        <v/>
      </c>
    </row>
    <row r="91">
      <c r="A91" s="71" t="inlineStr">
        <is>
          <t>Y2</t>
        </is>
      </c>
      <c r="B91" s="87">
        <f>IFERROR((Scenarios!D11+Scenarios!D12)/2,"—")</f>
        <v/>
      </c>
      <c r="C91" s="87">
        <f>IFERROR(Scenarios!D18*((1+Scenarios!D19/12)^(Scenarios!D20*12)-(1+Scenarios!D19/12)^(2*12))/((1+Scenarios!D19/12)^(Scenarios!D20*12)-1),"—")</f>
        <v/>
      </c>
      <c r="D91" s="87">
        <f>Scenarios!D27*(1+Scenarios!D28)^2</f>
        <v/>
      </c>
      <c r="E91" s="87">
        <f>C91+D91</f>
        <v/>
      </c>
      <c r="F91" s="87">
        <f>IFERROR(B91/($B$10+$B$8),"—")</f>
        <v/>
      </c>
      <c r="G91" s="87">
        <f>F91*Assumptions!$B$55</f>
        <v/>
      </c>
      <c r="H91" s="87">
        <f>IFERROR(PV($B$9/12,360,-B91/Assumptions!$B$57/12),"—")</f>
        <v/>
      </c>
      <c r="I91" s="87">
        <f>IFERROR(MIN(G91,H91),"—")</f>
        <v/>
      </c>
      <c r="J91" s="86">
        <f>E91-I91</f>
        <v/>
      </c>
      <c r="K91" s="87">
        <f>IFERROR(MAX(0,-J91),"—")</f>
        <v/>
      </c>
      <c r="L91" s="43">
        <f>IF(J91&lt;=0,"WAIT","NO")</f>
        <v/>
      </c>
    </row>
    <row r="92">
      <c r="A92" s="71" t="inlineStr">
        <is>
          <t>Y3</t>
        </is>
      </c>
      <c r="B92" s="87">
        <f>Scenarios!D12</f>
        <v/>
      </c>
      <c r="C92" s="87">
        <f>IFERROR(Scenarios!D18*((1+Scenarios!D19/12)^(Scenarios!D20*12)-(1+Scenarios!D19/12)^(3*12))/((1+Scenarios!D19/12)^(Scenarios!D20*12)-1),"—")</f>
        <v/>
      </c>
      <c r="D92" s="87">
        <f>Scenarios!D27*(1+Scenarios!D28)^3</f>
        <v/>
      </c>
      <c r="E92" s="87">
        <f>C92+D92</f>
        <v/>
      </c>
      <c r="F92" s="87">
        <f>IFERROR(B92/($B$10+$B$8),"—")</f>
        <v/>
      </c>
      <c r="G92" s="87">
        <f>F92*Assumptions!$B$55</f>
        <v/>
      </c>
      <c r="H92" s="87">
        <f>IFERROR(PV($B$9/12,360,-B92/Assumptions!$B$57/12),"—")</f>
        <v/>
      </c>
      <c r="I92" s="87">
        <f>IFERROR(MIN(G92,H92),"—")</f>
        <v/>
      </c>
      <c r="J92" s="86">
        <f>E92-I92</f>
        <v/>
      </c>
      <c r="K92" s="87">
        <f>IFERROR(MAX(0,-J92),"—")</f>
        <v/>
      </c>
      <c r="L92" s="43">
        <f>IF(J92&lt;=0,"WAIT","NO")</f>
        <v/>
      </c>
    </row>
    <row r="93">
      <c r="A93" s="71" t="inlineStr">
        <is>
          <t>Y4</t>
        </is>
      </c>
      <c r="B93" s="87">
        <f>Scenarios!D12*((1+Cash_Flow_10yr!$B$5))^(4-3)</f>
        <v/>
      </c>
      <c r="C93" s="87">
        <f>IFERROR(Scenarios!D18*((1+Scenarios!D19/12)^(Scenarios!D20*12)-(1+Scenarios!D19/12)^(4*12))/((1+Scenarios!D19/12)^(Scenarios!D20*12)-1),"—")</f>
        <v/>
      </c>
      <c r="D93" s="87">
        <f>Scenarios!D27*(1+Scenarios!D28)^4</f>
        <v/>
      </c>
      <c r="E93" s="87">
        <f>C93+D93</f>
        <v/>
      </c>
      <c r="F93" s="87">
        <f>IFERROR(B93/($B$10+$B$8),"—")</f>
        <v/>
      </c>
      <c r="G93" s="87">
        <f>F93*Assumptions!$B$55</f>
        <v/>
      </c>
      <c r="H93" s="87">
        <f>IFERROR(PV($B$9/12,360,-B93/Assumptions!$B$57/12),"—")</f>
        <v/>
      </c>
      <c r="I93" s="87">
        <f>IFERROR(MIN(G93,H93),"—")</f>
        <v/>
      </c>
      <c r="J93" s="86">
        <f>E93-I93</f>
        <v/>
      </c>
      <c r="K93" s="87">
        <f>IFERROR(MAX(0,-J93),"—")</f>
        <v/>
      </c>
      <c r="L93" s="43">
        <f>IF(J93&lt;=0,"WAIT","NO")</f>
        <v/>
      </c>
    </row>
    <row r="94">
      <c r="A94" s="71" t="inlineStr">
        <is>
          <t>Y5</t>
        </is>
      </c>
      <c r="B94" s="87">
        <f>Scenarios!D12*((1+Cash_Flow_10yr!$B$5))^(5-3)</f>
        <v/>
      </c>
      <c r="C94" s="87">
        <f>IFERROR(Scenarios!D18*((1+Scenarios!D19/12)^(Scenarios!D20*12)-(1+Scenarios!D19/12)^(5*12))/((1+Scenarios!D19/12)^(Scenarios!D20*12)-1),"—")</f>
        <v/>
      </c>
      <c r="D94" s="87">
        <f>Scenarios!D27*(1+Scenarios!D28)^5</f>
        <v/>
      </c>
      <c r="E94" s="87">
        <f>C94+D94</f>
        <v/>
      </c>
      <c r="F94" s="87">
        <f>IFERROR(B94/($B$10+$B$8),"—")</f>
        <v/>
      </c>
      <c r="G94" s="87">
        <f>F94*Assumptions!$B$55</f>
        <v/>
      </c>
      <c r="H94" s="87">
        <f>IFERROR(PV($B$9/12,360,-B94/Assumptions!$B$57/12),"—")</f>
        <v/>
      </c>
      <c r="I94" s="87">
        <f>IFERROR(MIN(G94,H94),"—")</f>
        <v/>
      </c>
      <c r="J94" s="86">
        <f>E94-I94</f>
        <v/>
      </c>
      <c r="K94" s="87">
        <f>IFERROR(MAX(0,-J94),"—")</f>
        <v/>
      </c>
      <c r="L94" s="43">
        <f>IF(J94&lt;=0,"YES","NO")</f>
        <v/>
      </c>
    </row>
    <row r="95">
      <c r="A95" s="71" t="inlineStr">
        <is>
          <t>Y6</t>
        </is>
      </c>
      <c r="B95" s="87">
        <f>Scenarios!D12*((1+Cash_Flow_10yr!$B$5))^(6-3)</f>
        <v/>
      </c>
      <c r="C95" s="87">
        <f>IFERROR(Scenarios!D18*((1+Scenarios!D19/12)^(Scenarios!D20*12)-(1+Scenarios!D19/12)^(6*12))/((1+Scenarios!D19/12)^(Scenarios!D20*12)-1),"—")</f>
        <v/>
      </c>
      <c r="D95" s="87">
        <f>Scenarios!D27*(1+Scenarios!D28)^6</f>
        <v/>
      </c>
      <c r="E95" s="87">
        <f>C95+D95</f>
        <v/>
      </c>
      <c r="F95" s="87">
        <f>IFERROR(B95/($B$10+$B$8),"—")</f>
        <v/>
      </c>
      <c r="G95" s="87">
        <f>F95*Assumptions!$B$55</f>
        <v/>
      </c>
      <c r="H95" s="87">
        <f>IFERROR(PV($B$9/12,360,-B95/Assumptions!$B$57/12),"—")</f>
        <v/>
      </c>
      <c r="I95" s="87">
        <f>IFERROR(MIN(G95,H95),"—")</f>
        <v/>
      </c>
      <c r="J95" s="86">
        <f>E95-I95</f>
        <v/>
      </c>
      <c r="K95" s="87">
        <f>IFERROR(MAX(0,-J95),"—")</f>
        <v/>
      </c>
      <c r="L95" s="43">
        <f>IF(J95&lt;=0,"YES","NO")</f>
        <v/>
      </c>
    </row>
    <row r="96">
      <c r="A96" s="71" t="inlineStr">
        <is>
          <t>Y7</t>
        </is>
      </c>
      <c r="B96" s="87">
        <f>Scenarios!D12*((1+Cash_Flow_10yr!$B$5))^(7-3)</f>
        <v/>
      </c>
      <c r="C96" s="87">
        <f>IFERROR(Scenarios!D18*((1+Scenarios!D19/12)^(Scenarios!D20*12)-(1+Scenarios!D19/12)^(7*12))/((1+Scenarios!D19/12)^(Scenarios!D20*12)-1),"—")</f>
        <v/>
      </c>
      <c r="D96" s="87">
        <f>Scenarios!D27*(1+Scenarios!D28)^7</f>
        <v/>
      </c>
      <c r="E96" s="87">
        <f>C96+D96</f>
        <v/>
      </c>
      <c r="F96" s="87">
        <f>IFERROR(B96/($B$10+$B$8),"—")</f>
        <v/>
      </c>
      <c r="G96" s="87">
        <f>F96*Assumptions!$B$55</f>
        <v/>
      </c>
      <c r="H96" s="87">
        <f>IFERROR(PV($B$9/12,360,-B96/Assumptions!$B$57/12),"—")</f>
        <v/>
      </c>
      <c r="I96" s="87">
        <f>IFERROR(MIN(G96,H96),"—")</f>
        <v/>
      </c>
      <c r="J96" s="86">
        <f>E96-I96</f>
        <v/>
      </c>
      <c r="K96" s="87">
        <f>IFERROR(MAX(0,-J96),"—")</f>
        <v/>
      </c>
      <c r="L96" s="43">
        <f>IF(J96&lt;=0,"YES","NO")</f>
        <v/>
      </c>
    </row>
    <row r="97">
      <c r="A97" s="71" t="inlineStr">
        <is>
          <t>Y8</t>
        </is>
      </c>
      <c r="B97" s="87">
        <f>Scenarios!D12*((1+Cash_Flow_10yr!$B$5))^(8-3)</f>
        <v/>
      </c>
      <c r="C97" s="87">
        <f>IFERROR(Scenarios!D18*((1+Scenarios!D19/12)^(Scenarios!D20*12)-(1+Scenarios!D19/12)^(8*12))/((1+Scenarios!D19/12)^(Scenarios!D20*12)-1),"—")</f>
        <v/>
      </c>
      <c r="D97" s="87">
        <f>Scenarios!D27*(1+Scenarios!D28)^8</f>
        <v/>
      </c>
      <c r="E97" s="87">
        <f>C97+D97</f>
        <v/>
      </c>
      <c r="F97" s="87">
        <f>IFERROR(B97/($B$10+$B$8),"—")</f>
        <v/>
      </c>
      <c r="G97" s="87">
        <f>F97*Assumptions!$B$55</f>
        <v/>
      </c>
      <c r="H97" s="87">
        <f>IFERROR(PV($B$9/12,360,-B97/Assumptions!$B$57/12),"—")</f>
        <v/>
      </c>
      <c r="I97" s="87">
        <f>IFERROR(MIN(G97,H97),"—")</f>
        <v/>
      </c>
      <c r="J97" s="86">
        <f>E97-I97</f>
        <v/>
      </c>
      <c r="K97" s="87">
        <f>IFERROR(MAX(0,-J97),"—")</f>
        <v/>
      </c>
      <c r="L97" s="43">
        <f>IF(J97&lt;=0,"YES","NO")</f>
        <v/>
      </c>
    </row>
    <row r="98">
      <c r="A98" s="71" t="inlineStr">
        <is>
          <t>Y9</t>
        </is>
      </c>
      <c r="B98" s="87">
        <f>Scenarios!D12*((1+Cash_Flow_10yr!$B$5))^(9-3)</f>
        <v/>
      </c>
      <c r="C98" s="87">
        <f>IFERROR(Scenarios!D18*((1+Scenarios!D19/12)^(Scenarios!D20*12)-(1+Scenarios!D19/12)^(9*12))/((1+Scenarios!D19/12)^(Scenarios!D20*12)-1),"—")</f>
        <v/>
      </c>
      <c r="D98" s="87">
        <f>Scenarios!D27*(1+Scenarios!D28)^9</f>
        <v/>
      </c>
      <c r="E98" s="87">
        <f>C98+D98</f>
        <v/>
      </c>
      <c r="F98" s="87">
        <f>IFERROR(B98/($B$10+$B$8),"—")</f>
        <v/>
      </c>
      <c r="G98" s="87">
        <f>F98*Assumptions!$B$55</f>
        <v/>
      </c>
      <c r="H98" s="87">
        <f>IFERROR(PV($B$9/12,360,-B98/Assumptions!$B$57/12),"—")</f>
        <v/>
      </c>
      <c r="I98" s="87">
        <f>IFERROR(MIN(G98,H98),"—")</f>
        <v/>
      </c>
      <c r="J98" s="86">
        <f>E98-I98</f>
        <v/>
      </c>
      <c r="K98" s="87">
        <f>IFERROR(MAX(0,-J98),"—")</f>
        <v/>
      </c>
      <c r="L98" s="43">
        <f>IF(J98&lt;=0,"YES","NO")</f>
        <v/>
      </c>
    </row>
    <row r="99">
      <c r="A99" s="71" t="inlineStr">
        <is>
          <t>Y10</t>
        </is>
      </c>
      <c r="B99" s="87">
        <f>Scenarios!D12*((1+Cash_Flow_10yr!$B$5))^(10-3)</f>
        <v/>
      </c>
      <c r="C99" s="87">
        <f>IFERROR(Scenarios!D18*((1+Scenarios!D19/12)^(Scenarios!D20*12)-(1+Scenarios!D19/12)^(10*12))/((1+Scenarios!D19/12)^(Scenarios!D20*12)-1),"—")</f>
        <v/>
      </c>
      <c r="D99" s="87">
        <f>Scenarios!D27*(1+Scenarios!D28)^10</f>
        <v/>
      </c>
      <c r="E99" s="87">
        <f>C99+D99</f>
        <v/>
      </c>
      <c r="F99" s="87">
        <f>IFERROR(B99/($B$10+$B$8),"—")</f>
        <v/>
      </c>
      <c r="G99" s="87">
        <f>F99*Assumptions!$B$55</f>
        <v/>
      </c>
      <c r="H99" s="87">
        <f>IFERROR(PV($B$9/12,360,-B99/Assumptions!$B$57/12),"—")</f>
        <v/>
      </c>
      <c r="I99" s="87">
        <f>IFERROR(MIN(G99,H99),"—")</f>
        <v/>
      </c>
      <c r="J99" s="86">
        <f>E99-I99</f>
        <v/>
      </c>
      <c r="K99" s="87">
        <f>IFERROR(MAX(0,-J99),"—")</f>
        <v/>
      </c>
      <c r="L99" s="43">
        <f>IF(J99&lt;=0,"YES","NO")</f>
        <v/>
      </c>
    </row>
    <row r="100">
      <c r="A100" s="71" t="inlineStr">
        <is>
          <t>Y11</t>
        </is>
      </c>
      <c r="B100" s="87">
        <f>Scenarios!D12*((1+Cash_Flow_10yr!$B$5))^(11-3)</f>
        <v/>
      </c>
      <c r="C100" s="87">
        <f>IFERROR(Scenarios!D18*((1+Scenarios!D19/12)^(Scenarios!D20*12)-(1+Scenarios!D19/12)^(11*12))/((1+Scenarios!D19/12)^(Scenarios!D20*12)-1),"—")</f>
        <v/>
      </c>
      <c r="D100" s="87">
        <f>Scenarios!D27*(1+Scenarios!D28)^11</f>
        <v/>
      </c>
      <c r="E100" s="87">
        <f>C100+D100</f>
        <v/>
      </c>
      <c r="F100" s="87">
        <f>IFERROR(B100/($B$10+$B$8),"—")</f>
        <v/>
      </c>
      <c r="G100" s="87">
        <f>F100*Assumptions!$B$55</f>
        <v/>
      </c>
      <c r="H100" s="87">
        <f>IFERROR(PV($B$9/12,360,-B100/Assumptions!$B$57/12),"—")</f>
        <v/>
      </c>
      <c r="I100" s="87">
        <f>IFERROR(MIN(G100,H100),"—")</f>
        <v/>
      </c>
      <c r="J100" s="86">
        <f>E100-I100</f>
        <v/>
      </c>
      <c r="K100" s="87">
        <f>IFERROR(MAX(0,-J100),"—")</f>
        <v/>
      </c>
      <c r="L100" s="43">
        <f>IF(J100&lt;=0,"YES","NO")</f>
        <v/>
      </c>
    </row>
    <row r="101">
      <c r="A101" s="71" t="inlineStr">
        <is>
          <t>Y12</t>
        </is>
      </c>
      <c r="B101" s="87">
        <f>Scenarios!D12*((1+Cash_Flow_10yr!$B$5))^(12-3)</f>
        <v/>
      </c>
      <c r="C101" s="87">
        <f>IFERROR(Scenarios!D18*((1+Scenarios!D19/12)^(Scenarios!D20*12)-(1+Scenarios!D19/12)^(12*12))/((1+Scenarios!D19/12)^(Scenarios!D20*12)-1),"—")</f>
        <v/>
      </c>
      <c r="D101" s="87">
        <f>Scenarios!D27*(1+Scenarios!D28)^12</f>
        <v/>
      </c>
      <c r="E101" s="87">
        <f>C101+D101</f>
        <v/>
      </c>
      <c r="F101" s="87">
        <f>IFERROR(B101/($B$10+$B$8),"—")</f>
        <v/>
      </c>
      <c r="G101" s="87">
        <f>F101*Assumptions!$B$55</f>
        <v/>
      </c>
      <c r="H101" s="87">
        <f>IFERROR(PV($B$9/12,360,-B101/Assumptions!$B$57/12),"—")</f>
        <v/>
      </c>
      <c r="I101" s="87">
        <f>IFERROR(MIN(G101,H101),"—")</f>
        <v/>
      </c>
      <c r="J101" s="86">
        <f>E101-I101</f>
        <v/>
      </c>
      <c r="K101" s="87">
        <f>IFERROR(MAX(0,-J101),"—")</f>
        <v/>
      </c>
      <c r="L101" s="43">
        <f>IF(J101&lt;=0,"YES","NO")</f>
        <v/>
      </c>
    </row>
    <row r="102">
      <c r="A102" s="71" t="inlineStr">
        <is>
          <t>Y13</t>
        </is>
      </c>
      <c r="B102" s="87">
        <f>Scenarios!D12*((1+Cash_Flow_10yr!$B$5))^(13-3)</f>
        <v/>
      </c>
      <c r="C102" s="87">
        <f>IFERROR(Scenarios!D18*((1+Scenarios!D19/12)^(Scenarios!D20*12)-(1+Scenarios!D19/12)^(13*12))/((1+Scenarios!D19/12)^(Scenarios!D20*12)-1),"—")</f>
        <v/>
      </c>
      <c r="D102" s="87">
        <f>Scenarios!D27*(1+Scenarios!D28)^13</f>
        <v/>
      </c>
      <c r="E102" s="87">
        <f>C102+D102</f>
        <v/>
      </c>
      <c r="F102" s="87">
        <f>IFERROR(B102/($B$10+$B$8),"—")</f>
        <v/>
      </c>
      <c r="G102" s="87">
        <f>F102*Assumptions!$B$55</f>
        <v/>
      </c>
      <c r="H102" s="87">
        <f>IFERROR(PV($B$9/12,360,-B102/Assumptions!$B$57/12),"—")</f>
        <v/>
      </c>
      <c r="I102" s="87">
        <f>IFERROR(MIN(G102,H102),"—")</f>
        <v/>
      </c>
      <c r="J102" s="86">
        <f>E102-I102</f>
        <v/>
      </c>
      <c r="K102" s="87">
        <f>IFERROR(MAX(0,-J102),"—")</f>
        <v/>
      </c>
      <c r="L102" s="43">
        <f>IF(J102&lt;=0,"YES","NO")</f>
        <v/>
      </c>
    </row>
    <row r="103">
      <c r="A103" s="71" t="inlineStr">
        <is>
          <t>Y14</t>
        </is>
      </c>
      <c r="B103" s="87">
        <f>Scenarios!D12*((1+Cash_Flow_10yr!$B$5))^(14-3)</f>
        <v/>
      </c>
      <c r="C103" s="87">
        <f>IFERROR(Scenarios!D18*((1+Scenarios!D19/12)^(Scenarios!D20*12)-(1+Scenarios!D19/12)^(14*12))/((1+Scenarios!D19/12)^(Scenarios!D20*12)-1),"—")</f>
        <v/>
      </c>
      <c r="D103" s="87">
        <f>Scenarios!D27*(1+Scenarios!D28)^14</f>
        <v/>
      </c>
      <c r="E103" s="87">
        <f>C103+D103</f>
        <v/>
      </c>
      <c r="F103" s="87">
        <f>IFERROR(B103/($B$10+$B$8),"—")</f>
        <v/>
      </c>
      <c r="G103" s="87">
        <f>F103*Assumptions!$B$55</f>
        <v/>
      </c>
      <c r="H103" s="87">
        <f>IFERROR(PV($B$9/12,360,-B103/Assumptions!$B$57/12),"—")</f>
        <v/>
      </c>
      <c r="I103" s="87">
        <f>IFERROR(MIN(G103,H103),"—")</f>
        <v/>
      </c>
      <c r="J103" s="86">
        <f>E103-I103</f>
        <v/>
      </c>
      <c r="K103" s="87">
        <f>IFERROR(MAX(0,-J103),"—")</f>
        <v/>
      </c>
      <c r="L103" s="43">
        <f>IF(J103&lt;=0,"YES","NO")</f>
        <v/>
      </c>
    </row>
    <row r="104">
      <c r="A104" s="71" t="inlineStr">
        <is>
          <t>Y15</t>
        </is>
      </c>
      <c r="B104" s="87">
        <f>Scenarios!D12*((1+Cash_Flow_10yr!$B$5))^(15-3)</f>
        <v/>
      </c>
      <c r="C104" s="87">
        <f>IFERROR(Scenarios!D18*((1+Scenarios!D19/12)^(Scenarios!D20*12)-(1+Scenarios!D19/12)^(15*12))/((1+Scenarios!D19/12)^(Scenarios!D20*12)-1),"—")</f>
        <v/>
      </c>
      <c r="D104" s="87">
        <f>Scenarios!D27*(1+Scenarios!D28)^15</f>
        <v/>
      </c>
      <c r="E104" s="87">
        <f>C104+D104</f>
        <v/>
      </c>
      <c r="F104" s="87">
        <f>IFERROR(B104/($B$10+$B$8),"—")</f>
        <v/>
      </c>
      <c r="G104" s="87">
        <f>F104*Assumptions!$B$55</f>
        <v/>
      </c>
      <c r="H104" s="87">
        <f>IFERROR(PV($B$9/12,360,-B104/Assumptions!$B$57/12),"—")</f>
        <v/>
      </c>
      <c r="I104" s="87">
        <f>IFERROR(MIN(G104,H104),"—")</f>
        <v/>
      </c>
      <c r="J104" s="86">
        <f>E104-I104</f>
        <v/>
      </c>
      <c r="K104" s="87">
        <f>IFERROR(MAX(0,-J104),"—")</f>
        <v/>
      </c>
      <c r="L104" s="43">
        <f>IF(J104&lt;=0,"YES","NO")</f>
        <v/>
      </c>
    </row>
    <row r="105" ht="27.75" customHeight="1">
      <c r="A105" s="45" t="inlineStr">
        <is>
          <t>EARLIEST CLEAN REFI YEAR →</t>
        </is>
      </c>
      <c r="C105" s="46">
        <f>IFERROR(INDEX($A$90:$A$104,MATCH("YES",$L$90:$L$104,0)),"None within 15 yrs")</f>
        <v/>
      </c>
      <c r="E105" s="47" t="inlineStr">
        <is>
          <t>Cash-Out at that year:</t>
        </is>
      </c>
      <c r="G105" s="98">
        <f>IFERROR(INDEX($K$90:$K$104,MATCH("YES",$L$90:$L$104,0)),0)</f>
        <v/>
      </c>
    </row>
    <row r="107" ht="21.75" customHeight="1">
      <c r="A107" s="8" t="inlineStr">
        <is>
          <t>SECTION 6 — STRESS E: COMBINED  (rents stress + opex stress + refi rate +100bps + cap +50bps)</t>
        </is>
      </c>
    </row>
    <row r="108" ht="27.75" customHeight="1">
      <c r="A108" s="40" t="inlineStr">
        <is>
          <t>Year</t>
        </is>
      </c>
      <c r="B108" s="40" t="inlineStr">
        <is>
          <t>NOI</t>
        </is>
      </c>
      <c r="C108" s="40" t="inlineStr">
        <is>
          <t>Senior Bal</t>
        </is>
      </c>
      <c r="D108" s="40" t="inlineStr">
        <is>
          <t>Carry Bal</t>
        </is>
      </c>
      <c r="E108" s="40" t="inlineStr">
        <is>
          <t>Stack</t>
        </is>
      </c>
      <c r="F108" s="40" t="inlineStr">
        <is>
          <t>Asset Value</t>
        </is>
      </c>
      <c r="G108" s="40" t="inlineStr">
        <is>
          <t>Max Refi (LTV)</t>
        </is>
      </c>
      <c r="H108" s="40" t="inlineStr">
        <is>
          <t>Max Refi (DSCR)</t>
        </is>
      </c>
      <c r="I108" s="40" t="inlineStr">
        <is>
          <t>Max Refi</t>
        </is>
      </c>
      <c r="J108" s="40" t="inlineStr">
        <is>
          <t>Refi Gap</t>
        </is>
      </c>
      <c r="K108" s="40" t="inlineStr">
        <is>
          <t>Cash-Out</t>
        </is>
      </c>
      <c r="L108" s="40" t="inlineStr">
        <is>
          <t>OK TO REFI?</t>
        </is>
      </c>
    </row>
    <row r="109">
      <c r="A109" s="71" t="inlineStr">
        <is>
          <t>Y1</t>
        </is>
      </c>
      <c r="B109" s="87">
        <f>IFERROR(Scenarios!D11-(Income_Statement!D5*((1+Cash_Flow_10yr!$B$5))^MAX(0,0))*$B$5-(Income_Statement!D17*(1+Assumptions!$B$50)^MAX(0,0))*$B$6,"—")</f>
        <v/>
      </c>
      <c r="C109" s="87">
        <f>IFERROR(Scenarios!D18*((1+Scenarios!D19/12)^(Scenarios!D20*12)-(1+Scenarios!D19/12)^(1*12))/((1+Scenarios!D19/12)^(Scenarios!D20*12)-1),"—")</f>
        <v/>
      </c>
      <c r="D109" s="87">
        <f>Scenarios!D27*(1+Scenarios!D28)^1</f>
        <v/>
      </c>
      <c r="E109" s="87">
        <f>C109+D109</f>
        <v/>
      </c>
      <c r="F109" s="87">
        <f>IFERROR(B109/($B$10+$B$8),"—")</f>
        <v/>
      </c>
      <c r="G109" s="87">
        <f>F109*Assumptions!$B$55</f>
        <v/>
      </c>
      <c r="H109" s="87">
        <f>IFERROR(PV(($B$9+$B$7)/12,360,-B109/Assumptions!$B$57/12),"—")</f>
        <v/>
      </c>
      <c r="I109" s="87">
        <f>IFERROR(MIN(G109,H109),"—")</f>
        <v/>
      </c>
      <c r="J109" s="86">
        <f>E109-I109</f>
        <v/>
      </c>
      <c r="K109" s="87">
        <f>IFERROR(MAX(0,-J109),"—")</f>
        <v/>
      </c>
      <c r="L109" s="43">
        <f>IF(J109&lt;=0,"WAIT","NO")</f>
        <v/>
      </c>
    </row>
    <row r="110">
      <c r="A110" s="71" t="inlineStr">
        <is>
          <t>Y2</t>
        </is>
      </c>
      <c r="B110" s="87">
        <f>IFERROR((Scenarios!D11+Scenarios!D12)/2-(Income_Statement!D5*((1+Cash_Flow_10yr!$B$5))^MAX(0,1))*$B$5-(Income_Statement!D17*(1+Assumptions!$B$50)^MAX(0,1))*$B$6,"—")</f>
        <v/>
      </c>
      <c r="C110" s="87">
        <f>IFERROR(Scenarios!D18*((1+Scenarios!D19/12)^(Scenarios!D20*12)-(1+Scenarios!D19/12)^(2*12))/((1+Scenarios!D19/12)^(Scenarios!D20*12)-1),"—")</f>
        <v/>
      </c>
      <c r="D110" s="87">
        <f>Scenarios!D27*(1+Scenarios!D28)^2</f>
        <v/>
      </c>
      <c r="E110" s="87">
        <f>C110+D110</f>
        <v/>
      </c>
      <c r="F110" s="87">
        <f>IFERROR(B110/($B$10+$B$8),"—")</f>
        <v/>
      </c>
      <c r="G110" s="87">
        <f>F110*Assumptions!$B$55</f>
        <v/>
      </c>
      <c r="H110" s="87">
        <f>IFERROR(PV(($B$9+$B$7)/12,360,-B110/Assumptions!$B$57/12),"—")</f>
        <v/>
      </c>
      <c r="I110" s="87">
        <f>IFERROR(MIN(G110,H110),"—")</f>
        <v/>
      </c>
      <c r="J110" s="86">
        <f>E110-I110</f>
        <v/>
      </c>
      <c r="K110" s="87">
        <f>IFERROR(MAX(0,-J110),"—")</f>
        <v/>
      </c>
      <c r="L110" s="43">
        <f>IF(J110&lt;=0,"WAIT","NO")</f>
        <v/>
      </c>
    </row>
    <row r="111">
      <c r="A111" s="71" t="inlineStr">
        <is>
          <t>Y3</t>
        </is>
      </c>
      <c r="B111" s="87">
        <f>IFERROR(Scenarios!D12-(Income_Statement!D5*((1+Cash_Flow_10yr!$B$5))^MAX(0,2))*$B$5-(Income_Statement!D17*(1+Assumptions!$B$50)^MAX(0,2))*$B$6,"—")</f>
        <v/>
      </c>
      <c r="C111" s="87">
        <f>IFERROR(Scenarios!D18*((1+Scenarios!D19/12)^(Scenarios!D20*12)-(1+Scenarios!D19/12)^(3*12))/((1+Scenarios!D19/12)^(Scenarios!D20*12)-1),"—")</f>
        <v/>
      </c>
      <c r="D111" s="87">
        <f>Scenarios!D27*(1+Scenarios!D28)^3</f>
        <v/>
      </c>
      <c r="E111" s="87">
        <f>C111+D111</f>
        <v/>
      </c>
      <c r="F111" s="87">
        <f>IFERROR(B111/($B$10+$B$8),"—")</f>
        <v/>
      </c>
      <c r="G111" s="87">
        <f>F111*Assumptions!$B$55</f>
        <v/>
      </c>
      <c r="H111" s="87">
        <f>IFERROR(PV(($B$9+$B$7)/12,360,-B111/Assumptions!$B$57/12),"—")</f>
        <v/>
      </c>
      <c r="I111" s="87">
        <f>IFERROR(MIN(G111,H111),"—")</f>
        <v/>
      </c>
      <c r="J111" s="86">
        <f>E111-I111</f>
        <v/>
      </c>
      <c r="K111" s="87">
        <f>IFERROR(MAX(0,-J111),"—")</f>
        <v/>
      </c>
      <c r="L111" s="43">
        <f>IF(J111&lt;=0,"WAIT","NO")</f>
        <v/>
      </c>
    </row>
    <row r="112">
      <c r="A112" s="71" t="inlineStr">
        <is>
          <t>Y4</t>
        </is>
      </c>
      <c r="B112" s="87">
        <f>IFERROR(Scenarios!D12*((1+Cash_Flow_10yr!$B$5))^(4-3)-(Income_Statement!D5*((1+Cash_Flow_10yr!$B$5))^MAX(0,3))*$B$5-(Income_Statement!D17*(1+Assumptions!$B$50)^MAX(0,3))*$B$6,"—")</f>
        <v/>
      </c>
      <c r="C112" s="87">
        <f>IFERROR(Scenarios!D18*((1+Scenarios!D19/12)^(Scenarios!D20*12)-(1+Scenarios!D19/12)^(4*12))/((1+Scenarios!D19/12)^(Scenarios!D20*12)-1),"—")</f>
        <v/>
      </c>
      <c r="D112" s="87">
        <f>Scenarios!D27*(1+Scenarios!D28)^4</f>
        <v/>
      </c>
      <c r="E112" s="87">
        <f>C112+D112</f>
        <v/>
      </c>
      <c r="F112" s="87">
        <f>IFERROR(B112/($B$10+$B$8),"—")</f>
        <v/>
      </c>
      <c r="G112" s="87">
        <f>F112*Assumptions!$B$55</f>
        <v/>
      </c>
      <c r="H112" s="87">
        <f>IFERROR(PV(($B$9+$B$7)/12,360,-B112/Assumptions!$B$57/12),"—")</f>
        <v/>
      </c>
      <c r="I112" s="87">
        <f>IFERROR(MIN(G112,H112),"—")</f>
        <v/>
      </c>
      <c r="J112" s="86">
        <f>E112-I112</f>
        <v/>
      </c>
      <c r="K112" s="87">
        <f>IFERROR(MAX(0,-J112),"—")</f>
        <v/>
      </c>
      <c r="L112" s="43">
        <f>IF(J112&lt;=0,"WAIT","NO")</f>
        <v/>
      </c>
    </row>
    <row r="113">
      <c r="A113" s="71" t="inlineStr">
        <is>
          <t>Y5</t>
        </is>
      </c>
      <c r="B113" s="87">
        <f>IFERROR(Scenarios!D12*((1+Cash_Flow_10yr!$B$5))^(5-3)-(Income_Statement!D5*((1+Cash_Flow_10yr!$B$5))^MAX(0,4))*$B$5-(Income_Statement!D17*(1+Assumptions!$B$50)^MAX(0,4))*$B$6,"—")</f>
        <v/>
      </c>
      <c r="C113" s="87">
        <f>IFERROR(Scenarios!D18*((1+Scenarios!D19/12)^(Scenarios!D20*12)-(1+Scenarios!D19/12)^(5*12))/((1+Scenarios!D19/12)^(Scenarios!D20*12)-1),"—")</f>
        <v/>
      </c>
      <c r="D113" s="87">
        <f>Scenarios!D27*(1+Scenarios!D28)^5</f>
        <v/>
      </c>
      <c r="E113" s="87">
        <f>C113+D113</f>
        <v/>
      </c>
      <c r="F113" s="87">
        <f>IFERROR(B113/($B$10+$B$8),"—")</f>
        <v/>
      </c>
      <c r="G113" s="87">
        <f>F113*Assumptions!$B$55</f>
        <v/>
      </c>
      <c r="H113" s="87">
        <f>IFERROR(PV(($B$9+$B$7)/12,360,-B113/Assumptions!$B$57/12),"—")</f>
        <v/>
      </c>
      <c r="I113" s="87">
        <f>IFERROR(MIN(G113,H113),"—")</f>
        <v/>
      </c>
      <c r="J113" s="86">
        <f>E113-I113</f>
        <v/>
      </c>
      <c r="K113" s="87">
        <f>IFERROR(MAX(0,-J113),"—")</f>
        <v/>
      </c>
      <c r="L113" s="43">
        <f>IF(J113&lt;=0,"YES","NO")</f>
        <v/>
      </c>
    </row>
    <row r="114">
      <c r="A114" s="71" t="inlineStr">
        <is>
          <t>Y6</t>
        </is>
      </c>
      <c r="B114" s="87">
        <f>IFERROR(Scenarios!D12*((1+Cash_Flow_10yr!$B$5))^(6-3)-(Income_Statement!D5*((1+Cash_Flow_10yr!$B$5))^MAX(0,5))*$B$5-(Income_Statement!D17*(1+Assumptions!$B$50)^MAX(0,5))*$B$6,"—")</f>
        <v/>
      </c>
      <c r="C114" s="87">
        <f>IFERROR(Scenarios!D18*((1+Scenarios!D19/12)^(Scenarios!D20*12)-(1+Scenarios!D19/12)^(6*12))/((1+Scenarios!D19/12)^(Scenarios!D20*12)-1),"—")</f>
        <v/>
      </c>
      <c r="D114" s="87">
        <f>Scenarios!D27*(1+Scenarios!D28)^6</f>
        <v/>
      </c>
      <c r="E114" s="87">
        <f>C114+D114</f>
        <v/>
      </c>
      <c r="F114" s="87">
        <f>IFERROR(B114/($B$10+$B$8),"—")</f>
        <v/>
      </c>
      <c r="G114" s="87">
        <f>F114*Assumptions!$B$55</f>
        <v/>
      </c>
      <c r="H114" s="87">
        <f>IFERROR(PV(($B$9+$B$7)/12,360,-B114/Assumptions!$B$57/12),"—")</f>
        <v/>
      </c>
      <c r="I114" s="87">
        <f>IFERROR(MIN(G114,H114),"—")</f>
        <v/>
      </c>
      <c r="J114" s="86">
        <f>E114-I114</f>
        <v/>
      </c>
      <c r="K114" s="87">
        <f>IFERROR(MAX(0,-J114),"—")</f>
        <v/>
      </c>
      <c r="L114" s="43">
        <f>IF(J114&lt;=0,"YES","NO")</f>
        <v/>
      </c>
    </row>
    <row r="115">
      <c r="A115" s="71" t="inlineStr">
        <is>
          <t>Y7</t>
        </is>
      </c>
      <c r="B115" s="87">
        <f>IFERROR(Scenarios!D12*((1+Cash_Flow_10yr!$B$5))^(7-3)-(Income_Statement!D5*((1+Cash_Flow_10yr!$B$5))^MAX(0,6))*$B$5-(Income_Statement!D17*(1+Assumptions!$B$50)^MAX(0,6))*$B$6,"—")</f>
        <v/>
      </c>
      <c r="C115" s="87">
        <f>IFERROR(Scenarios!D18*((1+Scenarios!D19/12)^(Scenarios!D20*12)-(1+Scenarios!D19/12)^(7*12))/((1+Scenarios!D19/12)^(Scenarios!D20*12)-1),"—")</f>
        <v/>
      </c>
      <c r="D115" s="87">
        <f>Scenarios!D27*(1+Scenarios!D28)^7</f>
        <v/>
      </c>
      <c r="E115" s="87">
        <f>C115+D115</f>
        <v/>
      </c>
      <c r="F115" s="87">
        <f>IFERROR(B115/($B$10+$B$8),"—")</f>
        <v/>
      </c>
      <c r="G115" s="87">
        <f>F115*Assumptions!$B$55</f>
        <v/>
      </c>
      <c r="H115" s="87">
        <f>IFERROR(PV(($B$9+$B$7)/12,360,-B115/Assumptions!$B$57/12),"—")</f>
        <v/>
      </c>
      <c r="I115" s="87">
        <f>IFERROR(MIN(G115,H115),"—")</f>
        <v/>
      </c>
      <c r="J115" s="86">
        <f>E115-I115</f>
        <v/>
      </c>
      <c r="K115" s="87">
        <f>IFERROR(MAX(0,-J115),"—")</f>
        <v/>
      </c>
      <c r="L115" s="43">
        <f>IF(J115&lt;=0,"YES","NO")</f>
        <v/>
      </c>
    </row>
    <row r="116">
      <c r="A116" s="71" t="inlineStr">
        <is>
          <t>Y8</t>
        </is>
      </c>
      <c r="B116" s="87">
        <f>IFERROR(Scenarios!D12*((1+Cash_Flow_10yr!$B$5))^(8-3)-(Income_Statement!D5*((1+Cash_Flow_10yr!$B$5))^MAX(0,7))*$B$5-(Income_Statement!D17*(1+Assumptions!$B$50)^MAX(0,7))*$B$6,"—")</f>
        <v/>
      </c>
      <c r="C116" s="87">
        <f>IFERROR(Scenarios!D18*((1+Scenarios!D19/12)^(Scenarios!D20*12)-(1+Scenarios!D19/12)^(8*12))/((1+Scenarios!D19/12)^(Scenarios!D20*12)-1),"—")</f>
        <v/>
      </c>
      <c r="D116" s="87">
        <f>Scenarios!D27*(1+Scenarios!D28)^8</f>
        <v/>
      </c>
      <c r="E116" s="87">
        <f>C116+D116</f>
        <v/>
      </c>
      <c r="F116" s="87">
        <f>IFERROR(B116/($B$10+$B$8),"—")</f>
        <v/>
      </c>
      <c r="G116" s="87">
        <f>F116*Assumptions!$B$55</f>
        <v/>
      </c>
      <c r="H116" s="87">
        <f>IFERROR(PV(($B$9+$B$7)/12,360,-B116/Assumptions!$B$57/12),"—")</f>
        <v/>
      </c>
      <c r="I116" s="87">
        <f>IFERROR(MIN(G116,H116),"—")</f>
        <v/>
      </c>
      <c r="J116" s="86">
        <f>E116-I116</f>
        <v/>
      </c>
      <c r="K116" s="87">
        <f>IFERROR(MAX(0,-J116),"—")</f>
        <v/>
      </c>
      <c r="L116" s="43">
        <f>IF(J116&lt;=0,"YES","NO")</f>
        <v/>
      </c>
    </row>
    <row r="117">
      <c r="A117" s="71" t="inlineStr">
        <is>
          <t>Y9</t>
        </is>
      </c>
      <c r="B117" s="87">
        <f>IFERROR(Scenarios!D12*((1+Cash_Flow_10yr!$B$5))^(9-3)-(Income_Statement!D5*((1+Cash_Flow_10yr!$B$5))^MAX(0,8))*$B$5-(Income_Statement!D17*(1+Assumptions!$B$50)^MAX(0,8))*$B$6,"—")</f>
        <v/>
      </c>
      <c r="C117" s="87">
        <f>IFERROR(Scenarios!D18*((1+Scenarios!D19/12)^(Scenarios!D20*12)-(1+Scenarios!D19/12)^(9*12))/((1+Scenarios!D19/12)^(Scenarios!D20*12)-1),"—")</f>
        <v/>
      </c>
      <c r="D117" s="87">
        <f>Scenarios!D27*(1+Scenarios!D28)^9</f>
        <v/>
      </c>
      <c r="E117" s="87">
        <f>C117+D117</f>
        <v/>
      </c>
      <c r="F117" s="87">
        <f>IFERROR(B117/($B$10+$B$8),"—")</f>
        <v/>
      </c>
      <c r="G117" s="87">
        <f>F117*Assumptions!$B$55</f>
        <v/>
      </c>
      <c r="H117" s="87">
        <f>IFERROR(PV(($B$9+$B$7)/12,360,-B117/Assumptions!$B$57/12),"—")</f>
        <v/>
      </c>
      <c r="I117" s="87">
        <f>IFERROR(MIN(G117,H117),"—")</f>
        <v/>
      </c>
      <c r="J117" s="86">
        <f>E117-I117</f>
        <v/>
      </c>
      <c r="K117" s="87">
        <f>IFERROR(MAX(0,-J117),"—")</f>
        <v/>
      </c>
      <c r="L117" s="43">
        <f>IF(J117&lt;=0,"YES","NO")</f>
        <v/>
      </c>
    </row>
    <row r="118">
      <c r="A118" s="71" t="inlineStr">
        <is>
          <t>Y10</t>
        </is>
      </c>
      <c r="B118" s="87">
        <f>IFERROR(Scenarios!D12*((1+Cash_Flow_10yr!$B$5))^(10-3)-(Income_Statement!D5*((1+Cash_Flow_10yr!$B$5))^MAX(0,9))*$B$5-(Income_Statement!D17*(1+Assumptions!$B$50)^MAX(0,9))*$B$6,"—")</f>
        <v/>
      </c>
      <c r="C118" s="87">
        <f>IFERROR(Scenarios!D18*((1+Scenarios!D19/12)^(Scenarios!D20*12)-(1+Scenarios!D19/12)^(10*12))/((1+Scenarios!D19/12)^(Scenarios!D20*12)-1),"—")</f>
        <v/>
      </c>
      <c r="D118" s="87">
        <f>Scenarios!D27*(1+Scenarios!D28)^10</f>
        <v/>
      </c>
      <c r="E118" s="87">
        <f>C118+D118</f>
        <v/>
      </c>
      <c r="F118" s="87">
        <f>IFERROR(B118/($B$10+$B$8),"—")</f>
        <v/>
      </c>
      <c r="G118" s="87">
        <f>F118*Assumptions!$B$55</f>
        <v/>
      </c>
      <c r="H118" s="87">
        <f>IFERROR(PV(($B$9+$B$7)/12,360,-B118/Assumptions!$B$57/12),"—")</f>
        <v/>
      </c>
      <c r="I118" s="87">
        <f>IFERROR(MIN(G118,H118),"—")</f>
        <v/>
      </c>
      <c r="J118" s="86">
        <f>E118-I118</f>
        <v/>
      </c>
      <c r="K118" s="87">
        <f>IFERROR(MAX(0,-J118),"—")</f>
        <v/>
      </c>
      <c r="L118" s="43">
        <f>IF(J118&lt;=0,"YES","NO")</f>
        <v/>
      </c>
    </row>
    <row r="119">
      <c r="A119" s="71" t="inlineStr">
        <is>
          <t>Y11</t>
        </is>
      </c>
      <c r="B119" s="87">
        <f>IFERROR(Scenarios!D12*((1+Cash_Flow_10yr!$B$5))^(11-3)-(Income_Statement!D5*((1+Cash_Flow_10yr!$B$5))^MAX(0,10))*$B$5-(Income_Statement!D17*(1+Assumptions!$B$50)^MAX(0,10))*$B$6,"—")</f>
        <v/>
      </c>
      <c r="C119" s="87">
        <f>IFERROR(Scenarios!D18*((1+Scenarios!D19/12)^(Scenarios!D20*12)-(1+Scenarios!D19/12)^(11*12))/((1+Scenarios!D19/12)^(Scenarios!D20*12)-1),"—")</f>
        <v/>
      </c>
      <c r="D119" s="87">
        <f>Scenarios!D27*(1+Scenarios!D28)^11</f>
        <v/>
      </c>
      <c r="E119" s="87">
        <f>C119+D119</f>
        <v/>
      </c>
      <c r="F119" s="87">
        <f>IFERROR(B119/($B$10+$B$8),"—")</f>
        <v/>
      </c>
      <c r="G119" s="87">
        <f>F119*Assumptions!$B$55</f>
        <v/>
      </c>
      <c r="H119" s="87">
        <f>IFERROR(PV(($B$9+$B$7)/12,360,-B119/Assumptions!$B$57/12),"—")</f>
        <v/>
      </c>
      <c r="I119" s="87">
        <f>IFERROR(MIN(G119,H119),"—")</f>
        <v/>
      </c>
      <c r="J119" s="86">
        <f>E119-I119</f>
        <v/>
      </c>
      <c r="K119" s="87">
        <f>IFERROR(MAX(0,-J119),"—")</f>
        <v/>
      </c>
      <c r="L119" s="43">
        <f>IF(J119&lt;=0,"YES","NO")</f>
        <v/>
      </c>
    </row>
    <row r="120">
      <c r="A120" s="71" t="inlineStr">
        <is>
          <t>Y12</t>
        </is>
      </c>
      <c r="B120" s="87">
        <f>IFERROR(Scenarios!D12*((1+Cash_Flow_10yr!$B$5))^(12-3)-(Income_Statement!D5*((1+Cash_Flow_10yr!$B$5))^MAX(0,11))*$B$5-(Income_Statement!D17*(1+Assumptions!$B$50)^MAX(0,11))*$B$6,"—")</f>
        <v/>
      </c>
      <c r="C120" s="87">
        <f>IFERROR(Scenarios!D18*((1+Scenarios!D19/12)^(Scenarios!D20*12)-(1+Scenarios!D19/12)^(12*12))/((1+Scenarios!D19/12)^(Scenarios!D20*12)-1),"—")</f>
        <v/>
      </c>
      <c r="D120" s="87">
        <f>Scenarios!D27*(1+Scenarios!D28)^12</f>
        <v/>
      </c>
      <c r="E120" s="87">
        <f>C120+D120</f>
        <v/>
      </c>
      <c r="F120" s="87">
        <f>IFERROR(B120/($B$10+$B$8),"—")</f>
        <v/>
      </c>
      <c r="G120" s="87">
        <f>F120*Assumptions!$B$55</f>
        <v/>
      </c>
      <c r="H120" s="87">
        <f>IFERROR(PV(($B$9+$B$7)/12,360,-B120/Assumptions!$B$57/12),"—")</f>
        <v/>
      </c>
      <c r="I120" s="87">
        <f>IFERROR(MIN(G120,H120),"—")</f>
        <v/>
      </c>
      <c r="J120" s="86">
        <f>E120-I120</f>
        <v/>
      </c>
      <c r="K120" s="87">
        <f>IFERROR(MAX(0,-J120),"—")</f>
        <v/>
      </c>
      <c r="L120" s="43">
        <f>IF(J120&lt;=0,"YES","NO")</f>
        <v/>
      </c>
    </row>
    <row r="121">
      <c r="A121" s="71" t="inlineStr">
        <is>
          <t>Y13</t>
        </is>
      </c>
      <c r="B121" s="87">
        <f>IFERROR(Scenarios!D12*((1+Cash_Flow_10yr!$B$5))^(13-3)-(Income_Statement!D5*((1+Cash_Flow_10yr!$B$5))^MAX(0,12))*$B$5-(Income_Statement!D17*(1+Assumptions!$B$50)^MAX(0,12))*$B$6,"—")</f>
        <v/>
      </c>
      <c r="C121" s="87">
        <f>IFERROR(Scenarios!D18*((1+Scenarios!D19/12)^(Scenarios!D20*12)-(1+Scenarios!D19/12)^(13*12))/((1+Scenarios!D19/12)^(Scenarios!D20*12)-1),"—")</f>
        <v/>
      </c>
      <c r="D121" s="87">
        <f>Scenarios!D27*(1+Scenarios!D28)^13</f>
        <v/>
      </c>
      <c r="E121" s="87">
        <f>C121+D121</f>
        <v/>
      </c>
      <c r="F121" s="87">
        <f>IFERROR(B121/($B$10+$B$8),"—")</f>
        <v/>
      </c>
      <c r="G121" s="87">
        <f>F121*Assumptions!$B$55</f>
        <v/>
      </c>
      <c r="H121" s="87">
        <f>IFERROR(PV(($B$9+$B$7)/12,360,-B121/Assumptions!$B$57/12),"—")</f>
        <v/>
      </c>
      <c r="I121" s="87">
        <f>IFERROR(MIN(G121,H121),"—")</f>
        <v/>
      </c>
      <c r="J121" s="86">
        <f>E121-I121</f>
        <v/>
      </c>
      <c r="K121" s="87">
        <f>IFERROR(MAX(0,-J121),"—")</f>
        <v/>
      </c>
      <c r="L121" s="43">
        <f>IF(J121&lt;=0,"YES","NO")</f>
        <v/>
      </c>
    </row>
    <row r="122">
      <c r="A122" s="71" t="inlineStr">
        <is>
          <t>Y14</t>
        </is>
      </c>
      <c r="B122" s="87">
        <f>IFERROR(Scenarios!D12*((1+Cash_Flow_10yr!$B$5))^(14-3)-(Income_Statement!D5*((1+Cash_Flow_10yr!$B$5))^MAX(0,13))*$B$5-(Income_Statement!D17*(1+Assumptions!$B$50)^MAX(0,13))*$B$6,"—")</f>
        <v/>
      </c>
      <c r="C122" s="87">
        <f>IFERROR(Scenarios!D18*((1+Scenarios!D19/12)^(Scenarios!D20*12)-(1+Scenarios!D19/12)^(14*12))/((1+Scenarios!D19/12)^(Scenarios!D20*12)-1),"—")</f>
        <v/>
      </c>
      <c r="D122" s="87">
        <f>Scenarios!D27*(1+Scenarios!D28)^14</f>
        <v/>
      </c>
      <c r="E122" s="87">
        <f>C122+D122</f>
        <v/>
      </c>
      <c r="F122" s="87">
        <f>IFERROR(B122/($B$10+$B$8),"—")</f>
        <v/>
      </c>
      <c r="G122" s="87">
        <f>F122*Assumptions!$B$55</f>
        <v/>
      </c>
      <c r="H122" s="87">
        <f>IFERROR(PV(($B$9+$B$7)/12,360,-B122/Assumptions!$B$57/12),"—")</f>
        <v/>
      </c>
      <c r="I122" s="87">
        <f>IFERROR(MIN(G122,H122),"—")</f>
        <v/>
      </c>
      <c r="J122" s="86">
        <f>E122-I122</f>
        <v/>
      </c>
      <c r="K122" s="87">
        <f>IFERROR(MAX(0,-J122),"—")</f>
        <v/>
      </c>
      <c r="L122" s="43">
        <f>IF(J122&lt;=0,"YES","NO")</f>
        <v/>
      </c>
    </row>
    <row r="123">
      <c r="A123" s="71" t="inlineStr">
        <is>
          <t>Y15</t>
        </is>
      </c>
      <c r="B123" s="87">
        <f>IFERROR(Scenarios!D12*((1+Cash_Flow_10yr!$B$5))^(15-3)-(Income_Statement!D5*((1+Cash_Flow_10yr!$B$5))^MAX(0,14))*$B$5-(Income_Statement!D17*(1+Assumptions!$B$50)^MAX(0,14))*$B$6,"—")</f>
        <v/>
      </c>
      <c r="C123" s="87">
        <f>IFERROR(Scenarios!D18*((1+Scenarios!D19/12)^(Scenarios!D20*12)-(1+Scenarios!D19/12)^(15*12))/((1+Scenarios!D19/12)^(Scenarios!D20*12)-1),"—")</f>
        <v/>
      </c>
      <c r="D123" s="87">
        <f>Scenarios!D27*(1+Scenarios!D28)^15</f>
        <v/>
      </c>
      <c r="E123" s="87">
        <f>C123+D123</f>
        <v/>
      </c>
      <c r="F123" s="87">
        <f>IFERROR(B123/($B$10+$B$8),"—")</f>
        <v/>
      </c>
      <c r="G123" s="87">
        <f>F123*Assumptions!$B$55</f>
        <v/>
      </c>
      <c r="H123" s="87">
        <f>IFERROR(PV(($B$9+$B$7)/12,360,-B123/Assumptions!$B$57/12),"—")</f>
        <v/>
      </c>
      <c r="I123" s="87">
        <f>IFERROR(MIN(G123,H123),"—")</f>
        <v/>
      </c>
      <c r="J123" s="86">
        <f>E123-I123</f>
        <v/>
      </c>
      <c r="K123" s="87">
        <f>IFERROR(MAX(0,-J123),"—")</f>
        <v/>
      </c>
      <c r="L123" s="43">
        <f>IF(J123&lt;=0,"YES","NO")</f>
        <v/>
      </c>
    </row>
    <row r="124" ht="27.75" customHeight="1">
      <c r="A124" s="45" t="inlineStr">
        <is>
          <t>EARLIEST CLEAN REFI YEAR →</t>
        </is>
      </c>
      <c r="C124" s="46">
        <f>IFERROR(INDEX($A$109:$A$123,MATCH("YES",$L$109:$L$123,0)),"None within 15 yrs")</f>
        <v/>
      </c>
      <c r="E124" s="47" t="inlineStr">
        <is>
          <t>Cash-Out at that year:</t>
        </is>
      </c>
      <c r="G124" s="98">
        <f>IFERROR(INDEX($K$109:$K$123,MATCH("YES",$L$109:$L$123,0)),0)</f>
        <v/>
      </c>
    </row>
    <row r="126" ht="27.75" customHeight="1">
      <c r="A126" s="10" t="inlineStr">
        <is>
          <t>REFI WINDOW SUMMARY — Earliest Clean Refi by Scenario</t>
        </is>
      </c>
    </row>
    <row r="127" ht="25.5" customHeight="1">
      <c r="A127" s="12" t="inlineStr">
        <is>
          <t>Scenario</t>
        </is>
      </c>
      <c r="B127" s="12" t="inlineStr">
        <is>
          <t>Earliest Refi Year</t>
        </is>
      </c>
      <c r="C127" s="12" t="inlineStr">
        <is>
          <t>Cash-Out at That Year</t>
        </is>
      </c>
      <c r="D127" s="12" t="inlineStr">
        <is>
          <t>Refi Gap at Y10 (Balloon)</t>
        </is>
      </c>
    </row>
    <row r="128" ht="30" customHeight="1">
      <c r="A128" s="25" t="inlineStr">
        <is>
          <t>BASE CASE</t>
        </is>
      </c>
      <c r="B128" s="70">
        <f>C29</f>
        <v/>
      </c>
      <c r="C128" s="86">
        <f>G29</f>
        <v/>
      </c>
      <c r="D128" s="86">
        <f>J23</f>
        <v/>
      </c>
    </row>
    <row r="129" ht="60" customHeight="1">
      <c r="A129" s="25" t="inlineStr">
        <is>
          <t>Stress A: Rents -X%</t>
        </is>
      </c>
      <c r="B129" s="70">
        <f>C48</f>
        <v/>
      </c>
      <c r="C129" s="86">
        <f>G48</f>
        <v/>
      </c>
      <c r="D129" s="86">
        <f>J42</f>
        <v/>
      </c>
    </row>
    <row r="130" ht="60" customHeight="1">
      <c r="A130" s="25" t="inlineStr">
        <is>
          <t>Stress B: OpEx +X%</t>
        </is>
      </c>
      <c r="B130" s="70">
        <f>C67</f>
        <v/>
      </c>
      <c r="C130" s="86">
        <f>G67</f>
        <v/>
      </c>
      <c r="D130" s="86">
        <f>J61</f>
        <v/>
      </c>
    </row>
    <row r="131" ht="75" customHeight="1">
      <c r="A131" s="25" t="inlineStr">
        <is>
          <t>Stress C: Refi Rate +100bps</t>
        </is>
      </c>
      <c r="B131" s="70">
        <f>C86</f>
        <v/>
      </c>
      <c r="C131" s="86">
        <f>G86</f>
        <v/>
      </c>
      <c r="D131" s="86">
        <f>J80</f>
        <v/>
      </c>
    </row>
    <row r="132" ht="75" customHeight="1">
      <c r="A132" s="25" t="inlineStr">
        <is>
          <t>Stress D: Exit Cap +50bps</t>
        </is>
      </c>
      <c r="B132" s="70">
        <f>C105</f>
        <v/>
      </c>
      <c r="C132" s="86">
        <f>G105</f>
        <v/>
      </c>
      <c r="D132" s="86">
        <f>J99</f>
        <v/>
      </c>
    </row>
    <row r="133" ht="60" customHeight="1">
      <c r="A133" s="25" t="inlineStr">
        <is>
          <t>Stress E: COMBINED</t>
        </is>
      </c>
      <c r="B133" s="70">
        <f>C124</f>
        <v/>
      </c>
      <c r="C133" s="86">
        <f>G124</f>
        <v/>
      </c>
      <c r="D133" s="86">
        <f>J118</f>
        <v/>
      </c>
    </row>
    <row r="135" ht="15" customHeight="1">
      <c r="A135" s="8" t="inlineStr">
        <is>
          <t>HOW TO READ THIS SHEET</t>
        </is>
      </c>
    </row>
    <row r="136" ht="15" customHeight="1">
      <c r="A136" s="50" t="inlineStr">
        <is>
          <t>Each section shows year-by-year refi feasibility for one scenario. Each row = one year (Y1-Y15).</t>
        </is>
      </c>
    </row>
    <row r="137" ht="15" customHeight="1">
      <c r="A137" s="50" t="inlineStr">
        <is>
          <t>The 'OK TO REFI?' column tells you exactly when the deal becomes refinanceable:</t>
        </is>
      </c>
    </row>
    <row r="138" ht="15" customHeight="1">
      <c r="A138" s="50" t="inlineStr">
        <is>
          <t xml:space="preserve">  YES (green) = stack clears max refi loan, refi cleanly with cash-out</t>
        </is>
      </c>
    </row>
    <row r="139" ht="15" customHeight="1">
      <c r="A139" s="50" t="inlineStr">
        <is>
          <t xml:space="preserve">  WAIT (yellow) = math works but year is too early — lenders typically want 2+ years seasoning</t>
        </is>
      </c>
    </row>
    <row r="140" ht="15" customHeight="1">
      <c r="A140" s="50" t="inlineStr">
        <is>
          <t xml:space="preserve">  NO (red) = refi gap is positive (shortfall) — would need to bring cash to refi or wait</t>
        </is>
      </c>
    </row>
    <row r="141">
      <c r="A141" s="50" t="n"/>
    </row>
    <row r="142" ht="15" customHeight="1">
      <c r="A142" s="50" t="inlineStr">
        <is>
          <t>OPTIMAL REFI WINDOW: Look at the 'Earliest Clean Refi Year' callout under each section.</t>
        </is>
      </c>
    </row>
    <row r="143" ht="15" customHeight="1">
      <c r="A143" s="50" t="inlineStr">
        <is>
          <t xml:space="preserve">  - Base case = your most likely path</t>
        </is>
      </c>
    </row>
    <row r="144" ht="15" customHeight="1">
      <c r="A144" s="50" t="inlineStr">
        <is>
          <t xml:space="preserve">  - Stress scenarios = when can you refi if conditions worsen?</t>
        </is>
      </c>
    </row>
    <row r="145" ht="15" customHeight="1">
      <c r="A145" s="50" t="inlineStr">
        <is>
          <t xml:space="preserve">  - Stress E (combined) = the planning year for worst-case</t>
        </is>
      </c>
    </row>
    <row r="146">
      <c r="A146" s="50" t="n"/>
    </row>
    <row r="147" ht="15" customHeight="1">
      <c r="A147" s="50" t="inlineStr">
        <is>
          <t>STRATEGIC USE: Plan to refi in the EARLIEST GREEN YEAR under your most likely scenario.</t>
        </is>
      </c>
    </row>
    <row r="148" ht="15" customHeight="1">
      <c r="A148" s="134" t="inlineStr">
        <is>
          <t>WAIT in years 1–4 is deliberate: below five years there is rarely enough forced appreciation for the refinance to cover the seller carry payoff.</t>
        </is>
      </c>
    </row>
    <row r="149" ht="15" customHeight="1">
      <c r="A149" s="134" t="inlineStr">
        <is>
          <t>LTV, minimum DSCR and NOI growth now read from the Assumptions tab. Change them there and every section below re-solves.</t>
        </is>
      </c>
    </row>
    <row r="150" ht="15" customHeight="1">
      <c r="A150" s="134" t="inlineStr">
        <is>
          <t>Every rate, ratio and growth assumption on this tab reads from the Assumptions tab. No figure is fixed in a formula.</t>
        </is>
      </c>
    </row>
  </sheetData>
  <mergeCells count="32">
    <mergeCell ref="B7:C7"/>
    <mergeCell ref="A137:L137"/>
    <mergeCell ref="A149:L149"/>
    <mergeCell ref="A136:L136"/>
    <mergeCell ref="A12:L12"/>
    <mergeCell ref="A50:L50"/>
    <mergeCell ref="A145:L145"/>
    <mergeCell ref="A139:L139"/>
    <mergeCell ref="A2:L2"/>
    <mergeCell ref="A141:L141"/>
    <mergeCell ref="A135:L135"/>
    <mergeCell ref="A150:L150"/>
    <mergeCell ref="A126:L126"/>
    <mergeCell ref="A144:L144"/>
    <mergeCell ref="B8:C8"/>
    <mergeCell ref="A140:L140"/>
    <mergeCell ref="A4:L4"/>
    <mergeCell ref="A147:L147"/>
    <mergeCell ref="B10:C10"/>
    <mergeCell ref="A31:L31"/>
    <mergeCell ref="A143:L143"/>
    <mergeCell ref="B9:C9"/>
    <mergeCell ref="A148:L148"/>
    <mergeCell ref="B6:C6"/>
    <mergeCell ref="A142:L142"/>
    <mergeCell ref="A138:L138"/>
    <mergeCell ref="A107:L107"/>
    <mergeCell ref="B5:C5"/>
    <mergeCell ref="A1:L1"/>
    <mergeCell ref="A88:L88"/>
    <mergeCell ref="A146:L146"/>
    <mergeCell ref="A69:L69"/>
  </mergeCells>
  <conditionalFormatting sqref="D128:D133">
    <cfRule type="cellIs" priority="39" operator="greaterThan" dxfId="0">
      <formula>0</formula>
    </cfRule>
    <cfRule type="cellIs" priority="38" operator="lessThanOrEqual" dxfId="2">
      <formula>0</formula>
    </cfRule>
  </conditionalFormatting>
  <conditionalFormatting sqref="J14:J28">
    <cfRule type="cellIs" priority="3" operator="greaterThan" dxfId="0">
      <formula>0</formula>
    </cfRule>
    <cfRule type="cellIs" priority="2" operator="lessThanOrEqual" dxfId="2">
      <formula>0</formula>
    </cfRule>
  </conditionalFormatting>
  <conditionalFormatting sqref="J33:J47">
    <cfRule type="cellIs" priority="8" operator="lessThanOrEqual" dxfId="2">
      <formula>0</formula>
    </cfRule>
    <cfRule type="cellIs" priority="9" operator="greaterThan" dxfId="0">
      <formula>0</formula>
    </cfRule>
  </conditionalFormatting>
  <conditionalFormatting sqref="J52:J66">
    <cfRule type="cellIs" priority="14" operator="lessThanOrEqual" dxfId="2">
      <formula>0</formula>
    </cfRule>
    <cfRule type="cellIs" priority="15" operator="greaterThan" dxfId="0">
      <formula>0</formula>
    </cfRule>
  </conditionalFormatting>
  <conditionalFormatting sqref="J71:J85">
    <cfRule type="cellIs" priority="21" operator="greaterThan" dxfId="0">
      <formula>0</formula>
    </cfRule>
    <cfRule type="cellIs" priority="20" operator="lessThanOrEqual" dxfId="2">
      <formula>0</formula>
    </cfRule>
  </conditionalFormatting>
  <conditionalFormatting sqref="J90:J104">
    <cfRule type="cellIs" priority="27" operator="greaterThan" dxfId="0">
      <formula>0</formula>
    </cfRule>
    <cfRule type="cellIs" priority="26" operator="lessThanOrEqual" dxfId="2">
      <formula>0</formula>
    </cfRule>
  </conditionalFormatting>
  <conditionalFormatting sqref="J109:J123">
    <cfRule type="cellIs" priority="33" operator="greaterThan" dxfId="0">
      <formula>0</formula>
    </cfRule>
    <cfRule type="cellIs" priority="32" operator="lessThanOrEqual" dxfId="2">
      <formula>0</formula>
    </cfRule>
  </conditionalFormatting>
  <conditionalFormatting sqref="K14:K28">
    <cfRule type="cellIs" priority="4" operator="greaterThan" dxfId="3">
      <formula>0</formula>
    </cfRule>
  </conditionalFormatting>
  <conditionalFormatting sqref="K33:K47">
    <cfRule type="cellIs" priority="10" operator="greaterThan" dxfId="3">
      <formula>0</formula>
    </cfRule>
  </conditionalFormatting>
  <conditionalFormatting sqref="K52:K66">
    <cfRule type="cellIs" priority="16" operator="greaterThan" dxfId="3">
      <formula>0</formula>
    </cfRule>
  </conditionalFormatting>
  <conditionalFormatting sqref="K71:K85">
    <cfRule type="cellIs" priority="22" operator="greaterThan" dxfId="3">
      <formula>0</formula>
    </cfRule>
  </conditionalFormatting>
  <conditionalFormatting sqref="K90:K104">
    <cfRule type="cellIs" priority="28" operator="greaterThan" dxfId="3">
      <formula>0</formula>
    </cfRule>
  </conditionalFormatting>
  <conditionalFormatting sqref="K109:K123">
    <cfRule type="cellIs" priority="34" operator="greaterThan" dxfId="3">
      <formula>0</formula>
    </cfRule>
  </conditionalFormatting>
  <conditionalFormatting sqref="L14:L28">
    <cfRule type="cellIs" priority="5" operator="equal" dxfId="2">
      <formula>"YES"</formula>
    </cfRule>
    <cfRule type="cellIs" priority="6" operator="equal" dxfId="1">
      <formula>"WAIT"</formula>
    </cfRule>
    <cfRule type="cellIs" priority="7" operator="equal" dxfId="0">
      <formula>"NO"</formula>
    </cfRule>
  </conditionalFormatting>
  <conditionalFormatting sqref="L33:L47">
    <cfRule type="cellIs" priority="11" operator="equal" dxfId="2">
      <formula>"YES"</formula>
    </cfRule>
    <cfRule type="cellIs" priority="12" operator="equal" dxfId="1">
      <formula>"WAIT"</formula>
    </cfRule>
    <cfRule type="cellIs" priority="13" operator="equal" dxfId="0">
      <formula>"NO"</formula>
    </cfRule>
  </conditionalFormatting>
  <conditionalFormatting sqref="L52:L66">
    <cfRule type="cellIs" priority="19" operator="equal" dxfId="0">
      <formula>"NO"</formula>
    </cfRule>
    <cfRule type="cellIs" priority="18" operator="equal" dxfId="1">
      <formula>"WAIT"</formula>
    </cfRule>
    <cfRule type="cellIs" priority="17" operator="equal" dxfId="2">
      <formula>"YES"</formula>
    </cfRule>
  </conditionalFormatting>
  <conditionalFormatting sqref="L71:L85">
    <cfRule type="cellIs" priority="24" operator="equal" dxfId="1">
      <formula>"WAIT"</formula>
    </cfRule>
    <cfRule type="cellIs" priority="25" operator="equal" dxfId="0">
      <formula>"NO"</formula>
    </cfRule>
    <cfRule type="cellIs" priority="23" operator="equal" dxfId="2">
      <formula>"YES"</formula>
    </cfRule>
  </conditionalFormatting>
  <conditionalFormatting sqref="L90:L104">
    <cfRule type="cellIs" priority="29" operator="equal" dxfId="2">
      <formula>"YES"</formula>
    </cfRule>
    <cfRule type="cellIs" priority="30" operator="equal" dxfId="1">
      <formula>"WAIT"</formula>
    </cfRule>
    <cfRule type="cellIs" priority="31" operator="equal" dxfId="0">
      <formula>"NO"</formula>
    </cfRule>
  </conditionalFormatting>
  <conditionalFormatting sqref="L109:L123">
    <cfRule type="cellIs" priority="35" operator="equal" dxfId="2">
      <formula>"YES"</formula>
    </cfRule>
    <cfRule type="cellIs" priority="36" operator="equal" dxfId="1">
      <formula>"WAIT"</formula>
    </cfRule>
    <cfRule type="cellIs" priority="37" operator="equal" dxfId="0">
      <formula>"NO"</formula>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35"/>
  <sheetViews>
    <sheetView topLeftCell="A16" zoomScaleNormal="100" workbookViewId="0">
      <selection activeCell="A1" sqref="A1:D1"/>
    </sheetView>
  </sheetViews>
  <sheetFormatPr baseColWidth="8" defaultColWidth="8.7109375" defaultRowHeight="15"/>
  <cols>
    <col width="38" customWidth="1" min="1" max="1"/>
    <col width="16" customWidth="1" min="2" max="3"/>
    <col width="18" customWidth="1" min="4" max="4"/>
  </cols>
  <sheetData>
    <row r="1" ht="30" customHeight="1">
      <c r="A1" s="10" t="inlineStr">
        <is>
          <t>REFINANCE ANALYSIS — at the balloon year</t>
        </is>
      </c>
    </row>
    <row r="3" ht="15" customHeight="1">
      <c r="A3" s="11" t="n"/>
      <c r="B3" s="12" t="inlineStr">
        <is>
          <t>Property 1</t>
        </is>
      </c>
      <c r="C3" s="12" t="inlineStr">
        <is>
          <t>Property 2</t>
        </is>
      </c>
      <c r="D3" s="12" t="inlineStr">
        <is>
          <t>Combined</t>
        </is>
      </c>
    </row>
    <row r="4" ht="21.75" customHeight="1">
      <c r="A4" s="8" t="inlineStr">
        <is>
          <t>PROJECTED NOI AT REFI (uses Refi Year from Assumptions)</t>
        </is>
      </c>
    </row>
    <row r="5" ht="15" customHeight="1">
      <c r="A5" s="13" t="inlineStr">
        <is>
          <t>Refi Year  (blank on Assumptions = earliest year it actually clears)</t>
        </is>
      </c>
      <c r="B5" s="89">
        <f>IFERROR(IF(Assumptions!B53="",VALUE(SUBSTITUTE(Refi_Timeline!$C$29,"Y","")),Assumptions!B53),10)</f>
        <v/>
      </c>
      <c r="C5" s="89">
        <f>IFERROR(IF(Assumptions!E53="",VALUE(SUBSTITUTE(Refi_Timeline!$C$29,"Y","")),Assumptions!E53),10)</f>
        <v/>
      </c>
      <c r="D5" s="103">
        <f>B5</f>
        <v/>
      </c>
    </row>
    <row r="6" ht="15" customHeight="1">
      <c r="A6" s="13" t="inlineStr">
        <is>
          <t>NOI at Refi (projected)</t>
        </is>
      </c>
      <c r="B6" s="86">
        <f>IFERROR(IF(Assumptions!B53&lt;=3,Income_Statement!B21+(Scenarios!B12-Income_Statement!B21)*(Assumptions!B53/3),Scenarios!B12*(1+Assumptions!B41)^(Assumptions!B53-3)),"—")</f>
        <v/>
      </c>
      <c r="C6" s="86">
        <f>IFERROR(IF(Assumptions!E53&lt;=3,Income_Statement!C21+(Scenarios!C12-Income_Statement!C21)*(Assumptions!E53/3),Scenarios!C12*(1+Assumptions!E41)^(Assumptions!E53-3)),"—")</f>
        <v/>
      </c>
      <c r="D6" s="86">
        <f>B6+C6</f>
        <v/>
      </c>
    </row>
    <row r="8" ht="21.75" customHeight="1">
      <c r="A8" s="8" t="inlineStr">
        <is>
          <t>REFI VALUATION</t>
        </is>
      </c>
    </row>
    <row r="9" ht="15" customHeight="1">
      <c r="A9" s="13" t="inlineStr">
        <is>
          <t>Exit Cap Rate</t>
        </is>
      </c>
      <c r="B9" s="85">
        <f>Assumptions!B54</f>
        <v/>
      </c>
      <c r="C9" s="85">
        <f>Assumptions!E54</f>
        <v/>
      </c>
      <c r="D9" s="92">
        <f>IFERROR(AVERAGE(B9,C9),"—")</f>
        <v/>
      </c>
    </row>
    <row r="10" ht="15" customHeight="1">
      <c r="A10" s="13" t="inlineStr">
        <is>
          <t>Stabilized Asset Value at Refi</t>
        </is>
      </c>
      <c r="B10" s="96">
        <f>IFERROR(B6/B9,"—")</f>
        <v/>
      </c>
      <c r="C10" s="96">
        <f>IFERROR(C6/C9,"—")</f>
        <v/>
      </c>
      <c r="D10" s="96">
        <f>B10+C10</f>
        <v/>
      </c>
    </row>
    <row r="11" ht="15" customHeight="1">
      <c r="A11" s="13" t="inlineStr">
        <is>
          <t>vs. Original Purchase Price</t>
        </is>
      </c>
      <c r="B11" s="86">
        <f>B10-Assumptions!B6</f>
        <v/>
      </c>
      <c r="C11" s="86">
        <f>C10-Assumptions!E6</f>
        <v/>
      </c>
      <c r="D11" s="86">
        <f>B11+C11</f>
        <v/>
      </c>
    </row>
    <row r="12" ht="15" customHeight="1">
      <c r="A12" s="13" t="inlineStr">
        <is>
          <t>Appreciation %</t>
        </is>
      </c>
      <c r="B12" s="92">
        <f>IFERROR(B10/Assumptions!B6-1,"—")</f>
        <v/>
      </c>
      <c r="C12" s="92">
        <f>IFERROR(C10/Assumptions!E6-1,"—")</f>
        <v/>
      </c>
      <c r="D12" s="92">
        <f>IFERROR(D10/Assumptions!H6-1,"—")</f>
        <v/>
      </c>
    </row>
    <row r="14" ht="21.75" customHeight="1">
      <c r="A14" s="8" t="inlineStr">
        <is>
          <t>MAX REFI LOAN (Lower of LTV or DSCR)</t>
        </is>
      </c>
    </row>
    <row r="15" ht="15" customHeight="1">
      <c r="A15" s="15" t="inlineStr">
        <is>
          <t>Refi Rate</t>
        </is>
      </c>
      <c r="B15" s="88">
        <f>Assumptions!B56</f>
        <v/>
      </c>
      <c r="C15" s="88">
        <f>Assumptions!E56</f>
        <v/>
      </c>
      <c r="D15" s="93">
        <f>IFERROR(AVERAGE(B15,C15),"—")</f>
        <v/>
      </c>
    </row>
    <row r="16" ht="15" customHeight="1">
      <c r="A16" s="15" t="inlineStr">
        <is>
          <t>Refi LTV %</t>
        </is>
      </c>
      <c r="B16" s="88">
        <f>Assumptions!B55</f>
        <v/>
      </c>
      <c r="C16" s="88">
        <f>Assumptions!E55</f>
        <v/>
      </c>
      <c r="D16" s="93">
        <f>IFERROR(AVERAGE(B16,C16),"—")</f>
        <v/>
      </c>
    </row>
    <row r="17" ht="15" customHeight="1">
      <c r="A17" s="15" t="inlineStr">
        <is>
          <t>Refi Min DSCR</t>
        </is>
      </c>
      <c r="B17" s="72">
        <f>Assumptions!B57</f>
        <v/>
      </c>
      <c r="C17" s="72">
        <f>Assumptions!E57</f>
        <v/>
      </c>
      <c r="D17" s="37">
        <f>IFERROR(AVERAGE(B17,C17),"—")</f>
        <v/>
      </c>
    </row>
    <row r="18" ht="15" customHeight="1">
      <c r="A18" s="13" t="inlineStr">
        <is>
          <t>Max Loan by LTV</t>
        </is>
      </c>
      <c r="B18" s="86">
        <f>B10*B16</f>
        <v/>
      </c>
      <c r="C18" s="86">
        <f>C10*C16</f>
        <v/>
      </c>
      <c r="D18" s="86">
        <f>B18+C18</f>
        <v/>
      </c>
    </row>
    <row r="19" ht="26.25" customHeight="1">
      <c r="A19" s="13" t="inlineStr">
        <is>
          <t>Max Loan by DSCR (1.25x, 30yr amort)</t>
        </is>
      </c>
      <c r="B19" s="86">
        <f>IFERROR(PV(B15/12,360,-B6/B17/12),"—")</f>
        <v/>
      </c>
      <c r="C19" s="86">
        <f>IFERROR(PV(C15/12,360,-C6/C17/12),"—")</f>
        <v/>
      </c>
      <c r="D19" s="86">
        <f>B19+C19</f>
        <v/>
      </c>
    </row>
    <row r="20" ht="15" customHeight="1">
      <c r="A20" s="13" t="inlineStr">
        <is>
          <t>MAX REFI LOAN (Limiting)</t>
        </is>
      </c>
      <c r="B20" s="101">
        <f>IFERROR(MIN(B18,B19),"—")</f>
        <v/>
      </c>
      <c r="C20" s="101">
        <f>IFERROR(MIN(C18,C19),"—")</f>
        <v/>
      </c>
      <c r="D20" s="101">
        <f>B20+C20</f>
        <v/>
      </c>
    </row>
    <row r="21" ht="15" customHeight="1">
      <c r="A21" s="13" t="inlineStr">
        <is>
          <t>Limiting Constraint</t>
        </is>
      </c>
      <c r="B21" s="34">
        <f>IF(B18&lt;B19,"LTV","DSCR")</f>
        <v/>
      </c>
      <c r="C21" s="34">
        <f>IF(C18&lt;C19,"LTV","DSCR")</f>
        <v/>
      </c>
    </row>
    <row r="23" ht="21.75" customHeight="1">
      <c r="A23" s="8" t="inlineStr">
        <is>
          <t>REFI PAYOFF — DOES IT CLEAR THE STACK?</t>
        </is>
      </c>
    </row>
    <row r="24" ht="15" customHeight="1">
      <c r="A24" s="15" t="inlineStr">
        <is>
          <t>Senior Loan Balance at Refi</t>
        </is>
      </c>
      <c r="B24" s="87">
        <f>IFERROR(Assumptions!B13*(((1+Assumptions!B14/12)^(Assumptions!B15*12)-(1+Assumptions!B14/12)^(Assumptions!B53*12))/((1+Assumptions!B14/12)^(Assumptions!B15*12)-1)),"—")</f>
        <v/>
      </c>
      <c r="C24" s="87">
        <f>IFERROR(Assumptions!E13*(((1+Assumptions!E14/12)^(Assumptions!E15*12)-(1+Assumptions!E14/12)^(Assumptions!E53*12))/((1+Assumptions!E14/12)^(Assumptions!E15*12)-1)),"—")</f>
        <v/>
      </c>
      <c r="D24" s="87">
        <f>B24+C24</f>
        <v/>
      </c>
    </row>
    <row r="25" ht="26.25" customHeight="1">
      <c r="A25" s="15" t="inlineStr">
        <is>
          <t>Seller Carry Balance at Refi (incl. accrual)</t>
        </is>
      </c>
      <c r="B25" s="87">
        <f>IF(Assumptions!B23=3,Scenarios!B27*(1+Scenarios!B28)^Assumptions!B53,Scenarios!B27)</f>
        <v/>
      </c>
      <c r="C25" s="87">
        <f>IF(Assumptions!E23=3,Scenarios!C27*(1+Scenarios!C28)^Assumptions!E53,Scenarios!C27)</f>
        <v/>
      </c>
      <c r="D25" s="87">
        <f>B25+C25</f>
        <v/>
      </c>
    </row>
    <row r="26" ht="15" customHeight="1">
      <c r="A26" s="13" t="inlineStr">
        <is>
          <t>Total Stack Balance at Refi</t>
        </is>
      </c>
      <c r="B26" s="86">
        <f>B24+B25</f>
        <v/>
      </c>
      <c r="C26" s="86">
        <f>C24+C25</f>
        <v/>
      </c>
      <c r="D26" s="86">
        <f>B26+C26</f>
        <v/>
      </c>
    </row>
    <row r="27" ht="15" customHeight="1">
      <c r="A27" s="13" t="inlineStr">
        <is>
          <t>Refi Loan Available</t>
        </is>
      </c>
      <c r="B27" s="86">
        <f>B20</f>
        <v/>
      </c>
      <c r="C27" s="86">
        <f>C20</f>
        <v/>
      </c>
      <c r="D27" s="86">
        <f>B27+C27</f>
        <v/>
      </c>
    </row>
    <row r="28" ht="26.25" customHeight="1">
      <c r="A28" s="13" t="inlineStr">
        <is>
          <t>REFI GAP (Negative = Cash Out, Positive = Shortfall)</t>
        </is>
      </c>
      <c r="B28" s="86">
        <f>B26-B27</f>
        <v/>
      </c>
      <c r="C28" s="86">
        <f>C26-C27</f>
        <v/>
      </c>
      <c r="D28" s="86">
        <f>B28+C28</f>
        <v/>
      </c>
    </row>
    <row r="29" ht="26.25" customHeight="1">
      <c r="A29" s="13" t="inlineStr">
        <is>
          <t>REFI VERDICT</t>
        </is>
      </c>
      <c r="B29" s="34">
        <f>IF(B28&lt;=0,"PASS — CASH OUT",IF(Scenarios!B49&gt;=B28,"GAP COVERED BY BUYER CASH","NEEDS PLAN"))</f>
        <v/>
      </c>
      <c r="C29" s="34">
        <f>IF(C28&lt;=0,"PASS — CASH OUT",IF(Scenarios!C49&gt;=C28,"GAP COVERED BY BUYER CASH","NEEDS PLAN"))</f>
        <v/>
      </c>
      <c r="D29" s="34">
        <f>IF(D28&lt;=0,"PASS — CASH OUT",IF(Scenarios!D49&gt;=D28,"GAP COVERED BY BUYER CASH","NEEDS PLAN"))</f>
        <v/>
      </c>
    </row>
    <row r="31" ht="21.75" customHeight="1">
      <c r="A31" s="8" t="inlineStr">
        <is>
          <t>REQUIRED NOI TO CLEAR REFI (Solve Backwards)</t>
        </is>
      </c>
    </row>
    <row r="32" ht="15" customHeight="1">
      <c r="A32" s="15" t="inlineStr">
        <is>
          <t>Required Refi Loan = Stack Balance</t>
        </is>
      </c>
      <c r="B32" s="87">
        <f>B26</f>
        <v/>
      </c>
      <c r="C32" s="87">
        <f>C26</f>
        <v/>
      </c>
      <c r="D32" s="87">
        <f>D26</f>
        <v/>
      </c>
    </row>
    <row r="33" ht="15" customHeight="1">
      <c r="A33" s="15" t="inlineStr">
        <is>
          <t>Implied Asset Value Required (at LTV)</t>
        </is>
      </c>
      <c r="B33" s="87">
        <f>IFERROR(B32/B16,"—")</f>
        <v/>
      </c>
      <c r="C33" s="87">
        <f>IFERROR(C32/C16,"—")</f>
        <v/>
      </c>
      <c r="D33" s="87">
        <f>B33+C33</f>
        <v/>
      </c>
    </row>
    <row r="34" ht="15" customHeight="1">
      <c r="A34" s="15" t="inlineStr">
        <is>
          <t>Implied NOI Required (at Cap Rate)</t>
        </is>
      </c>
      <c r="B34" s="87">
        <f>B33*B9</f>
        <v/>
      </c>
      <c r="C34" s="87">
        <f>C33*C9</f>
        <v/>
      </c>
      <c r="D34" s="87">
        <f>B34+C34</f>
        <v/>
      </c>
    </row>
    <row r="35" ht="15" customHeight="1">
      <c r="A35" s="13" t="inlineStr">
        <is>
          <t>Required NOI Growth from Y1</t>
        </is>
      </c>
      <c r="B35" s="92">
        <f>IFERROR(B34/Income_Statement!B21-1,"—")</f>
        <v/>
      </c>
      <c r="C35" s="92">
        <f>IFERROR(C34/Income_Statement!C21-1,"—")</f>
        <v/>
      </c>
      <c r="D35" s="92">
        <f>IFERROR(D34/Income_Statement!D21-1,"—")</f>
        <v/>
      </c>
    </row>
  </sheetData>
  <mergeCells count="6">
    <mergeCell ref="A1:D1"/>
    <mergeCell ref="A23:D23"/>
    <mergeCell ref="A31:D31"/>
    <mergeCell ref="A8:D8"/>
    <mergeCell ref="A4:D4"/>
    <mergeCell ref="A14:D14"/>
  </mergeCells>
  <conditionalFormatting sqref="B28:D28">
    <cfRule type="cellIs" priority="2" operator="lessThanOrEqual" dxfId="2">
      <formula>0</formula>
    </cfRule>
    <cfRule type="cellIs" priority="3" operator="greaterThan" dxfId="0">
      <formula>0</formula>
    </cfRule>
  </conditionalFormatting>
  <conditionalFormatting sqref="B29:D29">
    <cfRule type="expression" priority="4" dxfId="2">
      <formula>B28&lt;=0</formula>
    </cfRule>
    <cfRule type="cellIs" priority="5" operator="equal" dxfId="2">
      <formula>"PASS — CASH OUT"</formula>
    </cfRule>
    <cfRule type="cellIs" priority="6" operator="equal" dxfId="3">
      <formula>"GAP COVERED BY BUYER CASH"</formula>
    </cfRule>
    <cfRule type="cellIs" priority="7" operator="equal" dxfId="1">
      <formula>"NEEDS PLAN"</formula>
    </cfRule>
  </conditionalFormatting>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E20"/>
  <sheetViews>
    <sheetView zoomScaleNormal="100" workbookViewId="0">
      <selection activeCell="A1" sqref="A1:E1"/>
    </sheetView>
  </sheetViews>
  <sheetFormatPr baseColWidth="8" defaultColWidth="8.7109375" defaultRowHeight="15"/>
  <cols>
    <col width="38" customWidth="1" min="1" max="1"/>
    <col width="50" customWidth="1" min="2" max="2"/>
    <col width="12" customWidth="1" min="3" max="5"/>
  </cols>
  <sheetData>
    <row r="1" ht="30" customHeight="1">
      <c r="A1" s="10" t="inlineStr">
        <is>
          <t>DEAL SCORECARD — 0-100 POINTS</t>
        </is>
      </c>
    </row>
    <row r="3" ht="15" customHeight="1">
      <c r="A3" s="11" t="inlineStr">
        <is>
          <t>Category</t>
        </is>
      </c>
      <c r="B3" s="12" t="inlineStr">
        <is>
          <t>Test</t>
        </is>
      </c>
      <c r="C3" s="12" t="inlineStr">
        <is>
          <t>Property 1</t>
        </is>
      </c>
      <c r="D3" s="12" t="inlineStr">
        <is>
          <t>Property 2</t>
        </is>
      </c>
      <c r="E3" s="12" t="inlineStr">
        <is>
          <t>Combined</t>
        </is>
      </c>
    </row>
    <row r="4" ht="15" customHeight="1">
      <c r="A4" s="73" t="inlineStr">
        <is>
          <t>DSCR Health (25 pts)</t>
        </is>
      </c>
    </row>
    <row r="5" ht="15" customHeight="1">
      <c r="A5" s="15" t="inlineStr">
        <is>
          <t xml:space="preserve">  DSCR — Total Debt</t>
        </is>
      </c>
      <c r="B5" s="74" t="inlineStr">
        <is>
          <t>≥1.30x = 25, 1.20-1.30 = 18, 1.10-1.20 = 10, 1.0-1.10 = 5, &lt;1.0 = 0</t>
        </is>
      </c>
      <c r="C5" s="103">
        <f>IF(Income_Statement!B29&gt;=1.3,25,IF(Income_Statement!B29&gt;=1.2,18,IF(Income_Statement!B29&gt;=1.1,10,IF(Income_Statement!B29&gt;=1,5,0))))</f>
        <v/>
      </c>
      <c r="D5" s="103">
        <f>IF(Income_Statement!C29&gt;=1.3,25,IF(Income_Statement!C29&gt;=1.2,18,IF(Income_Statement!C29&gt;=1.1,10,IF(Income_Statement!C29&gt;=1,5,0))))</f>
        <v/>
      </c>
      <c r="E5" s="103">
        <f>IF(Income_Statement!D29&gt;=1.3,25,IF(Income_Statement!D29&gt;=1.2,18,IF(Income_Statement!D29&gt;=1.1,10,IF(Income_Statement!D29&gt;=1,5,0))))</f>
        <v/>
      </c>
    </row>
    <row r="6" ht="15" customHeight="1">
      <c r="A6" s="73" t="inlineStr">
        <is>
          <t>Refi Exit (25 pts)</t>
        </is>
      </c>
    </row>
    <row r="7" ht="21.75" customHeight="1">
      <c r="A7" s="15" t="inlineStr">
        <is>
          <t xml:space="preserve">  Refi Gap</t>
        </is>
      </c>
      <c r="B7" s="74" t="inlineStr">
        <is>
          <t>Cash Out &gt;$25K = 25, Clears = 18, Covered by buyer cash + 5yr CFAT = 15, Covered by buyer cash only = 10, Otherwise 0</t>
        </is>
      </c>
      <c r="C7" s="103">
        <f>IF(Refi_Analysis!B28&lt;=-25000,25,IF(Refi_Analysis!B28&lt;=0,18,IF(Scenarios!B49+Scenarios!B55*5&gt;=Refi_Analysis!B28,15,IF(Scenarios!B49&gt;=Refi_Analysis!B28,10,0))))</f>
        <v/>
      </c>
      <c r="D7" s="103">
        <f>IF(Refi_Analysis!C28&lt;=-25000,25,IF(Refi_Analysis!C28&lt;=0,18,IF(Scenarios!C49+Scenarios!C55*5&gt;=Refi_Analysis!C28,15,IF(Scenarios!C49&gt;=Refi_Analysis!C28,10,0))))</f>
        <v/>
      </c>
      <c r="E7" s="103">
        <f>IF(Refi_Analysis!D28&lt;=-25000,25,IF(Refi_Analysis!D28&lt;=0,18,IF(Scenarios!D49+Scenarios!D55*5&gt;=Refi_Analysis!D28,15,IF(Scenarios!D49&gt;=Refi_Analysis!D28,10,0))))</f>
        <v/>
      </c>
    </row>
    <row r="8" ht="15" customHeight="1">
      <c r="A8" s="73" t="inlineStr">
        <is>
          <t>Cash Flow (15 pts)</t>
        </is>
      </c>
    </row>
    <row r="9" ht="15" customHeight="1">
      <c r="A9" s="15" t="inlineStr">
        <is>
          <t xml:space="preserve">  Y1 Cash Flow After Debt Service</t>
        </is>
      </c>
      <c r="B9" s="74" t="inlineStr">
        <is>
          <t>&gt;$10K = 15, $5-10K = 10, $0-5K = 5, ≤$0 = 0</t>
        </is>
      </c>
      <c r="C9" s="103">
        <f>IF(Income_Statement!B30&gt;10000,15,IF(Income_Statement!B30&gt;5000,10,IF(Income_Statement!B30&gt;0,5,0)))</f>
        <v/>
      </c>
      <c r="D9" s="103">
        <f>IF(Income_Statement!C30&gt;10000,15,IF(Income_Statement!C30&gt;5000,10,IF(Income_Statement!C30&gt;0,5,0)))</f>
        <v/>
      </c>
      <c r="E9" s="103">
        <f>IF(Income_Statement!D30&gt;20000,15,IF(Income_Statement!D30&gt;10000,10,IF(Income_Statement!D30&gt;0,5,0)))</f>
        <v/>
      </c>
    </row>
    <row r="10" ht="15" customHeight="1">
      <c r="A10" s="73" t="inlineStr">
        <is>
          <t>Going-In Cap Rate (10 pts)</t>
        </is>
      </c>
    </row>
    <row r="11" ht="26.25" customHeight="1">
      <c r="A11" s="15" t="inlineStr">
        <is>
          <t xml:space="preserve">  Cap Rate vs. your market target (set on Assumptions)</t>
        </is>
      </c>
      <c r="B11" s="74" t="inlineStr">
        <is>
          <t>≥ target = 10, within 1 pt = 7, within 2 pts = 4, below = 0</t>
        </is>
      </c>
      <c r="C11" s="103">
        <f>IF(Income_Statement!B22&gt;=Assumptions!$B$58,10,IF(Income_Statement!B22&gt;=Assumptions!$B$58-0.01,7,IF(Income_Statement!B22&gt;=Assumptions!$B$58-0.02,4,0)))</f>
        <v/>
      </c>
      <c r="D11" s="103">
        <f>IF(Income_Statement!C22&gt;=Assumptions!$B$58,10,IF(Income_Statement!C22&gt;=Assumptions!$B$58-0.01,7,IF(Income_Statement!C22&gt;=Assumptions!$B$58-0.02,4,0)))</f>
        <v/>
      </c>
      <c r="E11" s="103">
        <f>IF(Income_Statement!D22&gt;=Assumptions!$B$58,10,IF(Income_Statement!D22&gt;=Assumptions!$B$58-0.01,7,IF(Income_Statement!D22&gt;=Assumptions!$B$58-0.02,4,0)))</f>
        <v/>
      </c>
    </row>
    <row r="12" ht="15" customHeight="1">
      <c r="A12" s="73" t="n"/>
    </row>
    <row r="13" ht="15" customHeight="1">
      <c r="A13" s="15" t="n"/>
      <c r="B13" s="74" t="n"/>
      <c r="C13" s="103" t="n"/>
      <c r="D13" s="103" t="n"/>
      <c r="E13" s="103" t="n"/>
    </row>
    <row r="14" ht="15" customHeight="1">
      <c r="A14" s="73" t="inlineStr">
        <is>
          <t>Operating Efficiency (10 pts)</t>
        </is>
      </c>
    </row>
    <row r="15" ht="15" customHeight="1">
      <c r="A15" s="15" t="inlineStr">
        <is>
          <t xml:space="preserve">  OpEx Ratio</t>
        </is>
      </c>
      <c r="B15" s="74" t="inlineStr">
        <is>
          <t>≤45% = 10, 45-55% = 7, 55-65% = 4, &gt;65% = 0</t>
        </is>
      </c>
      <c r="C15" s="103">
        <f>IF(Income_Statement!B18&lt;=0.45,10,IF(Income_Statement!B18&lt;=0.55,7,IF(Income_Statement!B18&lt;=0.65,4,0)))</f>
        <v/>
      </c>
      <c r="D15" s="103">
        <f>IF(Income_Statement!C18&lt;=0.45,10,IF(Income_Statement!C18&lt;=0.55,7,IF(Income_Statement!C18&lt;=0.65,4,0)))</f>
        <v/>
      </c>
      <c r="E15" s="103">
        <f>IF(Income_Statement!D18&lt;=0.45,10,IF(Income_Statement!D18&lt;=0.55,7,IF(Income_Statement!D18&lt;=0.65,4,0)))</f>
        <v/>
      </c>
    </row>
    <row r="16" ht="15" customHeight="1">
      <c r="A16" s="73" t="inlineStr">
        <is>
          <t>Long-term DSCR (15 pts)</t>
        </is>
      </c>
    </row>
    <row r="17" ht="15" customHeight="1">
      <c r="A17" s="15" t="inlineStr">
        <is>
          <t xml:space="preserve">  Y10 DSCR (combined)</t>
        </is>
      </c>
      <c r="B17" s="74" t="inlineStr">
        <is>
          <t>≥1.50x = 15, 1.30-1.50 = 10, 1.20-1.30 = 5, &lt;1.20 = 0</t>
        </is>
      </c>
      <c r="C17" s="103">
        <f>IF(Cash_Flow_10yr!K20&gt;=1.5,15,IF(Cash_Flow_10yr!K20&gt;=1.3,10,IF(Cash_Flow_10yr!K20&gt;=1.2,5,0)))</f>
        <v/>
      </c>
      <c r="D17" s="103">
        <f>IF(Cash_Flow_10yr!K20&gt;=1.5,15,IF(Cash_Flow_10yr!K20&gt;=1.3,10,IF(Cash_Flow_10yr!K20&gt;=1.2,5,0)))</f>
        <v/>
      </c>
      <c r="E17" s="103">
        <f>IF(Cash_Flow_10yr!K20&gt;=1.5,15,IF(Cash_Flow_10yr!K20&gt;=1.3,10,IF(Cash_Flow_10yr!K20&gt;=1.2,5,0)))</f>
        <v/>
      </c>
    </row>
    <row r="19" ht="27.75" customHeight="1">
      <c r="A19" s="75" t="inlineStr">
        <is>
          <t>TOTAL DEAL SCORE</t>
        </is>
      </c>
      <c r="B19" s="76" t="inlineStr">
        <is>
          <t>Out of 100</t>
        </is>
      </c>
      <c r="C19" s="108">
        <f>IFERROR(MIN(100,C5+C7+C9+C11+C15+C17),"—")</f>
        <v/>
      </c>
      <c r="D19" s="108">
        <f>IFERROR(MIN(100,D5+D7+D9+D11+D15+D17),"—")</f>
        <v/>
      </c>
      <c r="E19" s="108">
        <f>IFERROR(MIN(100,E5+E7+E9+E11+E15+E17),"—")</f>
        <v/>
      </c>
    </row>
    <row r="20" ht="24" customHeight="1">
      <c r="A20" s="11" t="inlineStr">
        <is>
          <t>VERDICT</t>
        </is>
      </c>
      <c r="C20" s="34">
        <f>IF(C19&gt;=80,"STRONG — DO DILIGENCE",IF(C19&gt;=65,"NEGOTIATE",IF(C19&gt;=50,"RESTRUCTURE","WALK")))</f>
        <v/>
      </c>
      <c r="D20" s="34">
        <f>IF(D19&gt;=80,"STRONG — DO DILIGENCE",IF(D19&gt;=65,"NEGOTIATE",IF(D19&gt;=50,"RESTRUCTURE","WALK")))</f>
        <v/>
      </c>
      <c r="E20" s="34">
        <f>IF(E19&gt;=80,"STRONG — DO DILIGENCE",IF(E19&gt;=65,"NEGOTIATE",IF(E19&gt;=50,"RESTRUCTURE","WALK")))</f>
        <v/>
      </c>
    </row>
  </sheetData>
  <mergeCells count="1">
    <mergeCell ref="A1:E1"/>
  </mergeCells>
  <conditionalFormatting sqref="C19:E19">
    <cfRule type="cellIs" priority="14" operator="greaterThanOrEqual" dxfId="12">
      <formula>80</formula>
    </cfRule>
    <cfRule type="cellIs" priority="15" operator="between" dxfId="11">
      <formula>65</formula>
      <formula>79</formula>
    </cfRule>
    <cfRule type="cellIs" priority="16" operator="between" dxfId="10">
      <formula>50</formula>
      <formula>64</formula>
    </cfRule>
    <cfRule type="cellIs" priority="17" operator="lessThan" dxfId="9">
      <formula>50</formula>
    </cfRule>
  </conditionalFormatting>
  <conditionalFormatting sqref="C20:E20">
    <cfRule type="expression" priority="2" dxfId="2">
      <formula>C19&gt;=80</formula>
    </cfRule>
    <cfRule type="expression" priority="3" dxfId="3">
      <formula>AND(C19&gt;=65,C19&lt;80)</formula>
    </cfRule>
    <cfRule type="expression" priority="4" dxfId="1">
      <formula>AND(C19&gt;=50,C19&lt;65)</formula>
    </cfRule>
    <cfRule type="expression" priority="5" dxfId="0">
      <formula>C19&lt;50</formula>
    </cfRule>
  </conditionalFormatting>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18"/>
  <sheetViews>
    <sheetView zoomScaleNormal="100" workbookViewId="0">
      <selection activeCell="A1" sqref="A1:E1"/>
    </sheetView>
  </sheetViews>
  <sheetFormatPr baseColWidth="8" defaultColWidth="8.7109375" defaultRowHeight="15"/>
  <cols>
    <col width="35" customWidth="1" min="1" max="1"/>
    <col width="12" customWidth="1" min="2" max="4"/>
    <col width="60" customWidth="1" min="5" max="5"/>
  </cols>
  <sheetData>
    <row r="1" ht="30" customHeight="1">
      <c r="A1" s="10" t="inlineStr">
        <is>
          <t>UNDERWRITING KILL FLAGS</t>
        </is>
      </c>
    </row>
    <row r="3" ht="15" customHeight="1">
      <c r="A3" s="11" t="inlineStr">
        <is>
          <t>Risk Test</t>
        </is>
      </c>
      <c r="B3" s="12" t="inlineStr">
        <is>
          <t>Property 1</t>
        </is>
      </c>
      <c r="C3" s="12" t="inlineStr">
        <is>
          <t>Property 2</t>
        </is>
      </c>
      <c r="D3" s="12" t="inlineStr">
        <is>
          <t>Combined</t>
        </is>
      </c>
      <c r="E3" s="12" t="inlineStr">
        <is>
          <t>Context / Why This Matters</t>
        </is>
      </c>
    </row>
    <row r="4" ht="31.5" customHeight="1">
      <c r="A4" s="13" t="inlineStr">
        <is>
          <t>DSCR Y1 &lt; 1.20x?</t>
        </is>
      </c>
      <c r="B4" s="34">
        <f>IF(Income_Statement!B29&lt;1.2,"FLAG","OK")</f>
        <v/>
      </c>
      <c r="C4" s="34">
        <f>IF(Income_Statement!C29&lt;1.2,"FLAG","OK")</f>
        <v/>
      </c>
      <c r="D4" s="34">
        <f>IF(Income_Statement!D29&lt;1.2,"FLAG","OK")</f>
        <v/>
      </c>
      <c r="E4" s="50" t="inlineStr">
        <is>
          <t>Below ~1.20x, most DSCR lenders decline or reprice. If one property fails standalone, check whether cross-collateralising with another lifts the combined ratio.</t>
        </is>
      </c>
    </row>
    <row r="5" ht="31.5" customHeight="1">
      <c r="A5" s="13" t="inlineStr">
        <is>
          <t>Refi gap &gt; $0 (shortfall)?</t>
        </is>
      </c>
      <c r="B5" s="34">
        <f>IF(Refi_Analysis!B28&gt;0,"FLAG","OK")</f>
        <v/>
      </c>
      <c r="C5" s="34">
        <f>IF(Refi_Analysis!C28&gt;0,"FLAG","OK")</f>
        <v/>
      </c>
      <c r="D5" s="34">
        <f>IF(Refi_Analysis!D28&gt;0,"FLAG","OK")</f>
        <v/>
      </c>
      <c r="E5" s="50" t="inlineStr">
        <is>
          <t>A refi gap means the balloon payoff exceeds what the property can refinance. Cover it from buyer cash at close, accumulated cash flow, or a longer balloon — or the structure does not work.</t>
        </is>
      </c>
    </row>
    <row r="6" ht="31.5" customHeight="1">
      <c r="A6" s="13" t="inlineStr">
        <is>
          <t>Going-in cap &lt; 7%?</t>
        </is>
      </c>
      <c r="B6" s="34">
        <f>IF(Income_Statement!B22&lt;0.07,"FLAG","OK")</f>
        <v/>
      </c>
      <c r="C6" s="34">
        <f>IF(Income_Statement!C22&lt;0.07,"FLAG","OK")</f>
        <v/>
      </c>
      <c r="D6" s="34">
        <f>IF(Income_Statement!D22&lt;0.07,"FLAG","OK")</f>
        <v/>
      </c>
      <c r="E6" s="50" t="inlineStr">
        <is>
          <t>Going-in cap below your market target usually means a value-add story — RUBS, mark-to-market rents, expense control. Make sure the lift is real and time it honestly; a thin going-in cap with no plan is just an expensive deal.</t>
        </is>
      </c>
    </row>
    <row r="7" ht="31.5" customHeight="1">
      <c r="A7" s="13" t="inlineStr">
        <is>
          <t>Negative cash flow Y1?</t>
        </is>
      </c>
      <c r="B7" s="34">
        <f>IF(Income_Statement!B30&lt;0,"FLAG","OK")</f>
        <v/>
      </c>
      <c r="C7" s="34">
        <f>IF(Income_Statement!C30&lt;0,"FLAG","OK")</f>
        <v/>
      </c>
      <c r="D7" s="34">
        <f>IF(Income_Statement!D30&lt;0,"FLAG","OK")</f>
        <v/>
      </c>
      <c r="E7" s="50" t="inlineStr">
        <is>
          <t>Pass — positive cash flow Y1 across all parcels.</t>
        </is>
      </c>
    </row>
    <row r="8" ht="31.5" customHeight="1">
      <c r="A8" s="13" t="inlineStr">
        <is>
          <t>OpEx ratio &gt; 55%?</t>
        </is>
      </c>
      <c r="B8" s="34">
        <f>IF(Income_Statement!B18&gt;0.55,"FLAG","OK")</f>
        <v/>
      </c>
      <c r="C8" s="34">
        <f>IF(Income_Statement!C18&gt;0.55,"FLAG","OK")</f>
        <v/>
      </c>
      <c r="D8" s="34">
        <f>IF(Income_Statement!D18&gt;0.55,"FLAG","OK")</f>
        <v/>
      </c>
      <c r="E8" s="50" t="inlineStr">
        <is>
          <t>Pass — OpEx ratios are within healthy range for  C-class.</t>
        </is>
      </c>
    </row>
    <row r="9" ht="31.5" customHeight="1">
      <c r="A9" s="13" t="inlineStr">
        <is>
          <t>Cash to close &gt; $30K?</t>
        </is>
      </c>
      <c r="B9" s="34">
        <f>IF(Assumptions!B27&gt;30000,"FLAG","OK")</f>
        <v/>
      </c>
      <c r="C9" s="34">
        <f>IF(Assumptions!E27&gt;30000,"FLAG","OK")</f>
        <v/>
      </c>
      <c r="D9" s="34">
        <f>IF(Assumptions!B27+Assumptions!E27&gt;60000,"FLAG","OK")</f>
        <v/>
      </c>
      <c r="E9" s="50" t="inlineStr">
        <is>
          <t>Buyer cash to close should be a number you can actually fund. If negative, confirm where the cash comes from and that every lien is disclosed to the senior lender.</t>
        </is>
      </c>
    </row>
    <row r="10" ht="31.5" customHeight="1">
      <c r="A10" s="13" t="inlineStr">
        <is>
          <t>Senior LTV &gt; 80%?</t>
        </is>
      </c>
      <c r="B10" s="34">
        <f>IF(Assumptions!B12&gt;0.8,"FLAG","OK")</f>
        <v/>
      </c>
      <c r="C10" s="34">
        <f>IF(Assumptions!E12&gt;0.8,"FLAG","OK")</f>
        <v/>
      </c>
      <c r="D10" s="34">
        <f>IFERROR(IF(MAX(Assumptions!B12,Assumptions!E12)&gt;0.8,"FLAG","OK"),"—")</f>
        <v/>
      </c>
      <c r="E10" s="50" t="inlineStr">
        <is>
          <t>Pass — Senior at 65% LTV, well within DSCR lender max of ~75%.</t>
        </is>
      </c>
    </row>
    <row r="11" ht="31.5" customHeight="1">
      <c r="A11" s="13" t="inlineStr">
        <is>
          <t>Seller carry &gt; 60% of price?</t>
        </is>
      </c>
      <c r="B11" s="34">
        <f>IF(Assumptions!B19&gt;0.6,"FLAG","OK")</f>
        <v/>
      </c>
      <c r="C11" s="34">
        <f>IF(Assumptions!E19&gt;0.6,"FLAG","OK")</f>
        <v/>
      </c>
      <c r="D11" s="34">
        <f>IFERROR(IF(MAX(Assumptions!B19,Assumptions!E19)&gt;0.6,"FLAG","OK"),"—")</f>
        <v/>
      </c>
      <c r="E11" s="50" t="inlineStr">
        <is>
          <t>Above ~60% the seller is financing most of the deal. That can work, but it concentrates risk with one party and most senior lenders will scrutinise it. Confirm the senior lender has approved the carry in writing.</t>
        </is>
      </c>
    </row>
    <row r="12" ht="31.5" customHeight="1">
      <c r="A12" s="13" t="inlineStr">
        <is>
          <t>Required NOI growth &gt; 80%?</t>
        </is>
      </c>
      <c r="B12" s="34">
        <f>IF(Refi_Analysis!B35&gt;0.8,"FLAG","OK")</f>
        <v/>
      </c>
      <c r="C12" s="34">
        <f>IF(Refi_Analysis!C35&gt;0.8,"FLAG","OK")</f>
        <v/>
      </c>
      <c r="D12" s="34">
        <f>IF(Refi_Analysis!D35&gt;0.8,"FLAG","OK")</f>
        <v/>
      </c>
      <c r="E12" s="50" t="inlineStr">
        <is>
          <t>Needing NOI to grow more than ~80% to make the exit work is a heavy value-add assumption. Check the rent comps support it and that your timeline is realistic.</t>
        </is>
      </c>
    </row>
    <row r="13" ht="31.5" customHeight="1">
      <c r="A13" s="13" t="inlineStr">
        <is>
          <t>Y10 DSCR &lt; 1.20x?</t>
        </is>
      </c>
      <c r="B13" s="34">
        <f>IF(Cash_Flow_10yr!K20&lt;1.2,"FLAG","OK")</f>
        <v/>
      </c>
      <c r="C13" s="34">
        <f>IF(Cash_Flow_10yr!K20&lt;1.2,"FLAG","OK")</f>
        <v/>
      </c>
      <c r="D13" s="34">
        <f>IF(Cash_Flow_10yr!K20&lt;1.2,"FLAG","OK")</f>
        <v/>
      </c>
      <c r="E13" s="50" t="inlineStr">
        <is>
          <t>Long-run DSCR at the balloon year. Below 1.20x, plan on refinancing into a lower loan amount or bringing cash.</t>
        </is>
      </c>
    </row>
    <row r="14">
      <c r="A14" t="inlineStr">
        <is>
          <t>Cash-on-cash below floor?</t>
        </is>
      </c>
      <c r="B14">
        <f>IFERROR(IF(Income_Statement!B41="FAIL","FLAG","OK"),"OK")</f>
        <v/>
      </c>
      <c r="C14">
        <f>IFERROR(IF(Income_Statement!C41="FAIL","FLAG","OK"),"OK")</f>
        <v/>
      </c>
      <c r="D14">
        <f>IFERROR(IF(Income_Statement!D41="FAIL","FLAG","OK"),"OK")</f>
        <v/>
      </c>
      <c r="E14" s="111" t="inlineStr">
        <is>
          <t>Your money has to earn its keep. Below the floor the deal survives but is not worth doing at this structure.</t>
        </is>
      </c>
    </row>
    <row r="15" ht="17.25" customHeight="1">
      <c r="A15" s="38" t="inlineStr">
        <is>
          <t>TOTAL FLAGS</t>
        </is>
      </c>
      <c r="B15" s="108">
        <f>COUNTIF(B4:B14,"FLAG")</f>
        <v/>
      </c>
      <c r="C15" s="108">
        <f>COUNTIF(C4:C14,"FLAG")</f>
        <v/>
      </c>
      <c r="D15" s="108">
        <f>COUNTIF(D4:D14,"FLAG")</f>
        <v/>
      </c>
    </row>
    <row r="17" ht="15" customHeight="1">
      <c r="A17" s="78" t="inlineStr">
        <is>
          <t>REAL CONCERNS (after context):</t>
        </is>
      </c>
      <c r="B17" s="79">
        <f>IF(B4="FLAG",1,0)+IF(B6="FLAG",1,0)+IF(B14="FLAG",1,0)</f>
        <v/>
      </c>
      <c r="C17" s="79">
        <f>IF(C4="FLAG",1,0)+IF(C6="FLAG",1,0)+IF(C14="FLAG",1,0)</f>
        <v/>
      </c>
      <c r="D17" s="79">
        <f>IF(D4="FLAG",1,0)+IF(D6="FLAG",1,0)+IF(D14="FLAG",1,0)</f>
        <v/>
      </c>
      <c r="E17" s="50" t="inlineStr">
        <is>
          <t>Excludes the structural flags above (carry %, refi gap, NOI growth) — those are judgement calls, not automatic kills.</t>
        </is>
      </c>
    </row>
    <row r="18" ht="39" customHeight="1">
      <c r="A18" s="80" t="inlineStr">
        <is>
          <t>VERDICT</t>
        </is>
      </c>
      <c r="B18" s="81">
        <f>IF(B17=0,"PASS",IF(B17=1,"REVIEW","STRUCTURAL ISSUES"))</f>
        <v/>
      </c>
      <c r="C18" s="81">
        <f>IF(C17=0,"PASS",IF(C17=1,"REVIEW","STRUCTURAL ISSUES"))</f>
        <v/>
      </c>
      <c r="D18" s="81">
        <f>IF(D17=0,"PASS",IF(D17=1,"REVIEW","STRUCTURAL ISSUES"))</f>
        <v/>
      </c>
    </row>
  </sheetData>
  <mergeCells count="1">
    <mergeCell ref="A1:E1"/>
  </mergeCells>
  <conditionalFormatting sqref="B4:D13">
    <cfRule type="cellIs" priority="2" operator="equal" dxfId="0">
      <formula>"FLAG"</formula>
    </cfRule>
    <cfRule type="cellIs" priority="3" operator="equal" dxfId="3">
      <formula>"OK"</formula>
    </cfRule>
  </conditionalFormatting>
  <conditionalFormatting sqref="B18:D18">
    <cfRule type="cellIs" priority="4" operator="equal" dxfId="2">
      <formula>"PASS"</formula>
    </cfRule>
    <cfRule type="cellIs" priority="5" operator="equal" dxfId="1">
      <formula>"REVIEW"</formula>
    </cfRule>
    <cfRule type="cellIs" priority="6" operator="equal" dxfId="0">
      <formula>"STRUCTURAL ISSUES"</formula>
    </cfRule>
  </conditionalFormatting>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3" customWidth="1" min="6" max="6"/>
  </cols>
  <sheetData>
    <row r="1">
      <c r="A1" s="109" t="inlineStr">
        <is>
          <t>ZOXIRO — FOUR OFFERS, ONE PROPERTY</t>
        </is>
      </c>
      <c r="B1" s="110" t="n"/>
      <c r="C1" s="110" t="n"/>
      <c r="D1" s="110" t="n"/>
      <c r="E1" s="110" t="n"/>
      <c r="F1" s="110" t="n"/>
    </row>
    <row r="2">
      <c r="A2" s="111" t="inlineStr">
        <is>
          <t>★ = you set it. Move the levers, not the property. Every offer faces the same two gates.</t>
        </is>
      </c>
    </row>
    <row r="4">
      <c r="A4" s="112" t="inlineStr">
        <is>
          <t>THE DEAL — same for all four</t>
        </is>
      </c>
      <c r="B4" s="113" t="n"/>
      <c r="C4" s="113" t="n"/>
      <c r="D4" s="113" t="n"/>
      <c r="E4" s="113" t="n"/>
      <c r="F4" s="113" t="n"/>
    </row>
    <row r="5">
      <c r="A5" t="inlineStr">
        <is>
          <t>Year-1 NOI — ACTUAL, never pro forma ★</t>
        </is>
      </c>
      <c r="B5" s="114" t="n"/>
    </row>
    <row r="6">
      <c r="A6" t="inlineStr">
        <is>
          <t>Seller's asking price ★</t>
        </is>
      </c>
      <c r="B6" s="114" t="n"/>
    </row>
    <row r="7">
      <c r="A7" t="inlineStr">
        <is>
          <t>DSCR floor ★</t>
        </is>
      </c>
      <c r="B7" s="115" t="n">
        <v>1.25</v>
      </c>
    </row>
    <row r="8">
      <c r="A8" t="inlineStr">
        <is>
          <t>Cash-on-cash floor ★</t>
        </is>
      </c>
      <c r="B8" s="116" t="n">
        <v>0.15</v>
      </c>
    </row>
    <row r="9">
      <c r="A9" s="111" t="inlineStr">
        <is>
          <t>A lender will not lend on a pro forma. If NOI above is a projection, the bank offer is already off the table.</t>
        </is>
      </c>
    </row>
    <row r="11">
      <c r="A11" s="112" t="inlineStr">
        <is>
          <t>WHAT EACH OFFER IS</t>
        </is>
      </c>
      <c r="B11" s="117" t="inlineStr">
        <is>
          <t>Their terms</t>
        </is>
      </c>
      <c r="C11" s="117" t="inlineStr">
        <is>
          <t>Price lever</t>
        </is>
      </c>
      <c r="D11" s="117" t="inlineStr">
        <is>
          <t>Rate lever</t>
        </is>
      </c>
      <c r="E11" s="117" t="inlineStr">
        <is>
          <t>Structure lever</t>
        </is>
      </c>
      <c r="F11" s="113" t="n"/>
    </row>
    <row r="13">
      <c r="A13" s="112" t="inlineStr">
        <is>
          <t>THE LEVERS</t>
        </is>
      </c>
      <c r="B13" s="113" t="n"/>
      <c r="C13" s="113" t="n"/>
      <c r="D13" s="113" t="n"/>
      <c r="E13" s="113" t="n"/>
      <c r="F13" s="113" t="n"/>
    </row>
    <row r="14">
      <c r="A14" t="inlineStr">
        <is>
          <t>Price ★</t>
        </is>
      </c>
      <c r="B14" s="114">
        <f>$B$6</f>
        <v/>
      </c>
      <c r="C14" s="114">
        <f>$B$6</f>
        <v/>
      </c>
      <c r="D14" s="114">
        <f>$B$6</f>
        <v/>
      </c>
      <c r="E14" s="114">
        <f>$B$6</f>
        <v/>
      </c>
    </row>
    <row r="15">
      <c r="A15" t="inlineStr">
        <is>
          <t>Down payment % ★</t>
        </is>
      </c>
      <c r="B15" s="116" t="n">
        <v>0.25</v>
      </c>
      <c r="C15" s="116" t="n">
        <v>0.25</v>
      </c>
      <c r="D15" s="116" t="n">
        <v>0.25</v>
      </c>
      <c r="E15" s="116" t="n">
        <v>0.25</v>
      </c>
    </row>
    <row r="16">
      <c r="A16" t="inlineStr">
        <is>
          <t>Interest rate ★</t>
        </is>
      </c>
      <c r="B16" s="116" t="n">
        <v>0.05</v>
      </c>
      <c r="C16" s="116" t="n">
        <v>0.05</v>
      </c>
      <c r="D16" s="116" t="n">
        <v>0.05</v>
      </c>
      <c r="E16" s="116" t="n">
        <v>0.05</v>
      </c>
    </row>
    <row r="17">
      <c r="A17" t="inlineStr">
        <is>
          <t>Amortisation (yrs) ★</t>
        </is>
      </c>
      <c r="B17" s="118" t="n">
        <v>30</v>
      </c>
      <c r="C17" s="118" t="n">
        <v>30</v>
      </c>
      <c r="D17" s="118" t="n">
        <v>30</v>
      </c>
      <c r="E17" s="118" t="n">
        <v>30</v>
      </c>
    </row>
    <row r="18">
      <c r="A18" t="inlineStr">
        <is>
          <t>Balloon (yrs) ★</t>
        </is>
      </c>
      <c r="B18" s="118" t="n">
        <v>7</v>
      </c>
      <c r="C18" s="118" t="n">
        <v>7</v>
      </c>
      <c r="D18" s="118" t="n">
        <v>7</v>
      </c>
      <c r="E18" s="118" t="n">
        <v>7</v>
      </c>
    </row>
    <row r="20">
      <c r="A20" s="112" t="inlineStr">
        <is>
          <t>STRUCTURE</t>
        </is>
      </c>
      <c r="B20" s="113" t="n"/>
      <c r="C20" s="113" t="n"/>
      <c r="D20" s="113" t="n"/>
      <c r="E20" s="113" t="n"/>
      <c r="F20" s="113" t="n"/>
    </row>
    <row r="21">
      <c r="A21" t="inlineStr">
        <is>
          <t>Down payment $</t>
        </is>
      </c>
      <c r="B21" s="119">
        <f>IFERROR(B14*B15,"—")</f>
        <v/>
      </c>
      <c r="C21" s="119">
        <f>IFERROR(C14*C15,"—")</f>
        <v/>
      </c>
      <c r="D21" s="119">
        <f>IFERROR(D14*D15,"—")</f>
        <v/>
      </c>
      <c r="E21" s="119">
        <f>IFERROR(E14*E15,"—")</f>
        <v/>
      </c>
    </row>
    <row r="22">
      <c r="A22" t="inlineStr">
        <is>
          <t>Amount financed (loan or seller carry)</t>
        </is>
      </c>
      <c r="B22" s="119">
        <f>IFERROR(B14-B21,"—")</f>
        <v/>
      </c>
      <c r="C22" s="119">
        <f>IFERROR(C14-C21,"—")</f>
        <v/>
      </c>
      <c r="D22" s="119">
        <f>IFERROR(D14-D21,"—")</f>
        <v/>
      </c>
      <c r="E22" s="119">
        <f>IFERROR(E14-E21,"—")</f>
        <v/>
      </c>
    </row>
    <row r="23">
      <c r="A23" t="inlineStr">
        <is>
          <t>Annual debt service</t>
        </is>
      </c>
      <c r="B23" s="119">
        <f>IFERROR(-PMT(B16/12,B17*12,B22)*12,"—")</f>
        <v/>
      </c>
      <c r="C23" s="119">
        <f>IFERROR(-PMT(C16/12,C17*12,C22)*12,"—")</f>
        <v/>
      </c>
      <c r="D23" s="119">
        <f>IFERROR(-PMT(D16/12,D17*12,D22)*12,"—")</f>
        <v/>
      </c>
      <c r="E23" s="119">
        <f>IFERROR(-PMT(E16/12,E17*12,E22)*12,"—")</f>
        <v/>
      </c>
    </row>
    <row r="24">
      <c r="A24" t="inlineStr">
        <is>
          <t>Balance owed at balloon</t>
        </is>
      </c>
      <c r="B24" s="119">
        <f>IFERROR(-FV(B16/12,B18*12,PMT(B16/12,B17*12,B22),B22),"—")</f>
        <v/>
      </c>
      <c r="C24" s="119">
        <f>IFERROR(-FV(C16/12,C18*12,PMT(C16/12,C17*12,C22),C22),"—")</f>
        <v/>
      </c>
      <c r="D24" s="119">
        <f>IFERROR(-FV(D16/12,D18*12,PMT(D16/12,D17*12,D22),D22),"—")</f>
        <v/>
      </c>
      <c r="E24" s="119">
        <f>IFERROR(-FV(E16/12,E18*12,PMT(E16/12,E17*12,E22),E22),"—")</f>
        <v/>
      </c>
    </row>
    <row r="26">
      <c r="A26" s="112" t="inlineStr">
        <is>
          <t>WHO BRINGS THE DOWN PAYMENT</t>
        </is>
      </c>
      <c r="B26" s="113" t="n"/>
      <c r="C26" s="113" t="n"/>
      <c r="D26" s="113" t="n"/>
      <c r="E26" s="113" t="n"/>
      <c r="F26" s="113" t="n"/>
    </row>
    <row r="27">
      <c r="A27" t="inlineStr">
        <is>
          <t>Transactional funding — % of down covered ★</t>
        </is>
      </c>
      <c r="B27" s="116" t="n">
        <v>0</v>
      </c>
      <c r="C27" s="116" t="n">
        <v>0</v>
      </c>
      <c r="D27" s="116" t="n">
        <v>0</v>
      </c>
      <c r="E27" s="116" t="n">
        <v>0</v>
      </c>
    </row>
    <row r="28">
      <c r="A28" t="inlineStr">
        <is>
          <t>Transactional funding $</t>
        </is>
      </c>
      <c r="B28" s="119">
        <f>IFERROR(B21*B27,"—")</f>
        <v/>
      </c>
      <c r="C28" s="119">
        <f>IFERROR(C21*C27,"—")</f>
        <v/>
      </c>
      <c r="D28" s="119">
        <f>IFERROR(D21*D27,"—")</f>
        <v/>
      </c>
      <c r="E28" s="119">
        <f>IFERROR(E21*E27,"—")</f>
        <v/>
      </c>
    </row>
    <row r="29">
      <c r="A29" t="inlineStr">
        <is>
          <t>Funder fee % ★</t>
        </is>
      </c>
      <c r="B29" s="116" t="n">
        <v>0</v>
      </c>
      <c r="C29" s="116" t="n">
        <v>0</v>
      </c>
      <c r="D29" s="116" t="n">
        <v>0</v>
      </c>
      <c r="E29" s="116" t="n">
        <v>0</v>
      </c>
    </row>
    <row r="30">
      <c r="A30" t="inlineStr">
        <is>
          <t>Funder fee $</t>
        </is>
      </c>
      <c r="B30" s="119">
        <f>IFERROR(B28*B29,"—")</f>
        <v/>
      </c>
      <c r="C30" s="119">
        <f>IFERROR(C28*C29,"—")</f>
        <v/>
      </c>
      <c r="D30" s="119">
        <f>IFERROR(D28*D29,"—")</f>
        <v/>
      </c>
      <c r="E30" s="119">
        <f>IFERROR(E28*E29,"—")</f>
        <v/>
      </c>
    </row>
    <row r="31">
      <c r="A31" s="111" t="inlineStr">
        <is>
          <t>The funder's money is short-term and repaid at the second closing — it is never equity. Fee is a real cost; never default it.</t>
        </is>
      </c>
    </row>
    <row r="33">
      <c r="A33" s="112" t="inlineStr">
        <is>
          <t>YOUR CASH IN — the denominator that decides cash-on-cash</t>
        </is>
      </c>
      <c r="B33" s="113" t="n"/>
      <c r="C33" s="113" t="n"/>
      <c r="D33" s="113" t="n"/>
      <c r="E33" s="113" t="n"/>
      <c r="F33" s="113" t="n"/>
    </row>
    <row r="34">
      <c r="A34" t="inlineStr">
        <is>
          <t>Down payment you actually pay</t>
        </is>
      </c>
      <c r="B34" s="119">
        <f>IFERROR(B21-B28,"—")</f>
        <v/>
      </c>
      <c r="C34" s="119">
        <f>IFERROR(C21-C28,"—")</f>
        <v/>
      </c>
      <c r="D34" s="119">
        <f>IFERROR(D21-D28,"—")</f>
        <v/>
      </c>
      <c r="E34" s="119">
        <f>IFERROR(E21-E28,"—")</f>
        <v/>
      </c>
    </row>
    <row r="35">
      <c r="A35" t="inlineStr">
        <is>
          <t>Closing costs ★</t>
        </is>
      </c>
      <c r="B35" s="114" t="n">
        <v>0</v>
      </c>
      <c r="C35" s="114" t="n">
        <v>0</v>
      </c>
      <c r="D35" s="114" t="n">
        <v>0</v>
      </c>
      <c r="E35" s="114" t="n">
        <v>0</v>
      </c>
    </row>
    <row r="36">
      <c r="A36" t="inlineStr">
        <is>
          <t>Prepaid taxes, insurance, reserves ★</t>
        </is>
      </c>
      <c r="B36" s="114" t="n">
        <v>0</v>
      </c>
      <c r="C36" s="114" t="n">
        <v>0</v>
      </c>
      <c r="D36" s="114" t="n">
        <v>0</v>
      </c>
      <c r="E36" s="114" t="n">
        <v>0</v>
      </c>
    </row>
    <row r="37">
      <c r="A37" t="inlineStr">
        <is>
          <t>Day-one capex ★</t>
        </is>
      </c>
      <c r="B37" s="114" t="n">
        <v>0</v>
      </c>
      <c r="C37" s="114" t="n">
        <v>0</v>
      </c>
      <c r="D37" s="114" t="n">
        <v>0</v>
      </c>
      <c r="E37" s="114" t="n">
        <v>0</v>
      </c>
    </row>
    <row r="38">
      <c r="A38" t="inlineStr">
        <is>
          <t>Funder fee</t>
        </is>
      </c>
      <c r="B38" s="119">
        <f>B30</f>
        <v/>
      </c>
      <c r="C38" s="119">
        <f>C30</f>
        <v/>
      </c>
      <c r="D38" s="119">
        <f>D30</f>
        <v/>
      </c>
      <c r="E38" s="119">
        <f>E30</f>
        <v/>
      </c>
    </row>
    <row r="39">
      <c r="A39" s="120" t="inlineStr">
        <is>
          <t>TOTAL CASH INVESTED</t>
        </is>
      </c>
      <c r="B39" s="121">
        <f>IFERROR(SUM(B34:B38),"—")</f>
        <v/>
      </c>
      <c r="C39" s="121">
        <f>IFERROR(SUM(C34:C38),"—")</f>
        <v/>
      </c>
      <c r="D39" s="121">
        <f>IFERROR(SUM(D34:D38),"—")</f>
        <v/>
      </c>
      <c r="E39" s="121">
        <f>IFERROR(SUM(E34:E38),"—")</f>
        <v/>
      </c>
    </row>
    <row r="41">
      <c r="A41" s="112" t="inlineStr">
        <is>
          <t>THE TWO GATES</t>
        </is>
      </c>
      <c r="B41" s="113" t="n"/>
      <c r="C41" s="113" t="n"/>
      <c r="D41" s="113" t="n"/>
      <c r="E41" s="113" t="n"/>
      <c r="F41" s="113" t="n"/>
    </row>
    <row r="42">
      <c r="A42" t="inlineStr">
        <is>
          <t>Annual cash flow after debt service</t>
        </is>
      </c>
      <c r="B42" s="119">
        <f>IFERROR($B$5-B23,"—")</f>
        <v/>
      </c>
      <c r="C42" s="119">
        <f>IFERROR($B$5-C23,"—")</f>
        <v/>
      </c>
      <c r="D42" s="119">
        <f>IFERROR($B$5-D23,"—")</f>
        <v/>
      </c>
      <c r="E42" s="119">
        <f>IFERROR($B$5-E23,"—")</f>
        <v/>
      </c>
    </row>
    <row r="43">
      <c r="A43" t="inlineStr">
        <is>
          <t>DSCR</t>
        </is>
      </c>
      <c r="B43" s="122">
        <f>IFERROR(IF(B23=0,"no debt",$B$5/B23),"—")</f>
        <v/>
      </c>
      <c r="C43" s="122">
        <f>IFERROR(IF(C23=0,"no debt",$B$5/C23),"—")</f>
        <v/>
      </c>
      <c r="D43" s="122">
        <f>IFERROR(IF(D23=0,"no debt",$B$5/D23),"—")</f>
        <v/>
      </c>
      <c r="E43" s="122">
        <f>IFERROR(IF(E23=0,"no debt",$B$5/E23),"—")</f>
        <v/>
      </c>
    </row>
    <row r="44">
      <c r="A44" t="inlineStr">
        <is>
          <t>DSCR gate</t>
        </is>
      </c>
      <c r="B44" s="123">
        <f>IFERROR(IF(B23=0,"n/a",IF(B43&gt;=$B$7,"PASS","FAIL")),"—")</f>
        <v/>
      </c>
      <c r="C44" s="123">
        <f>IFERROR(IF(C23=0,"n/a",IF(C43&gt;=$B$7,"PASS","FAIL")),"—")</f>
        <v/>
      </c>
      <c r="D44" s="123">
        <f>IFERROR(IF(D23=0,"n/a",IF(D43&gt;=$B$7,"PASS","FAIL")),"—")</f>
        <v/>
      </c>
      <c r="E44" s="123">
        <f>IFERROR(IF(E23=0,"n/a",IF(E43&gt;=$B$7,"PASS","FAIL")),"—")</f>
        <v/>
      </c>
    </row>
    <row r="45">
      <c r="A45" t="inlineStr">
        <is>
          <t>Cash-on-cash return</t>
        </is>
      </c>
      <c r="B45" s="124">
        <f>IFERROR(B42/B39,"—")</f>
        <v/>
      </c>
      <c r="C45" s="124">
        <f>IFERROR(C42/C39,"—")</f>
        <v/>
      </c>
      <c r="D45" s="124">
        <f>IFERROR(D42/D39,"—")</f>
        <v/>
      </c>
      <c r="E45" s="124">
        <f>IFERROR(E42/E39,"—")</f>
        <v/>
      </c>
    </row>
    <row r="46">
      <c r="A46" t="inlineStr">
        <is>
          <t>Cash-on-cash gate</t>
        </is>
      </c>
      <c r="B46" s="123">
        <f>IFERROR(IF(B45&gt;=$B$8,"PASS","FAIL"),"—")</f>
        <v/>
      </c>
      <c r="C46" s="123">
        <f>IFERROR(IF(C45&gt;=$B$8,"PASS","FAIL"),"—")</f>
        <v/>
      </c>
      <c r="D46" s="123">
        <f>IFERROR(IF(D45&gt;=$B$8,"PASS","FAIL"),"—")</f>
        <v/>
      </c>
      <c r="E46" s="123">
        <f>IFERROR(IF(E45&gt;=$B$8,"PASS","FAIL"),"—")</f>
        <v/>
      </c>
    </row>
    <row r="47">
      <c r="A47" s="120" t="inlineStr">
        <is>
          <t>VERDICT</t>
        </is>
      </c>
      <c r="B47" s="120">
        <f>IFERROR(IF(AND(B44&lt;&gt;"FAIL",B46&lt;&gt;"FAIL"),"CLEARS",IF(AND(B44="FAIL",B46="FAIL"),"FAILS BOTH",IF(B44="FAIL","FAILS DSCR","FAILS CASH-ON-CASH"))),"—")</f>
        <v/>
      </c>
      <c r="C47" s="120">
        <f>IFERROR(IF(AND(C44&lt;&gt;"FAIL",C46&lt;&gt;"FAIL"),"CLEARS",IF(AND(C44="FAIL",C46="FAIL"),"FAILS BOTH",IF(C44="FAIL","FAILS DSCR","FAILS CASH-ON-CASH"))),"—")</f>
        <v/>
      </c>
      <c r="D47" s="120">
        <f>IFERROR(IF(AND(D44&lt;&gt;"FAIL",D46&lt;&gt;"FAIL"),"CLEARS",IF(AND(D44="FAIL",D46="FAIL"),"FAILS BOTH",IF(D44="FAIL","FAILS DSCR","FAILS CASH-ON-CASH"))),"—")</f>
        <v/>
      </c>
      <c r="E47" s="120">
        <f>IFERROR(IF(AND(E44&lt;&gt;"FAIL",E46&lt;&gt;"FAIL"),"CLEARS",IF(AND(E44="FAIL",E46="FAIL"),"FAILS BOTH",IF(E44="FAIL","FAILS DSCR","FAILS CASH-ON-CASH"))),"—")</f>
        <v/>
      </c>
    </row>
    <row r="49">
      <c r="A49" s="112" t="inlineStr">
        <is>
          <t>WHAT THE SELLER SEES</t>
        </is>
      </c>
      <c r="B49" s="113" t="n"/>
      <c r="C49" s="113" t="n"/>
      <c r="D49" s="113" t="n"/>
      <c r="E49" s="113" t="n"/>
      <c r="F49" s="113" t="n"/>
    </row>
    <row r="50">
      <c r="A50" t="inlineStr">
        <is>
          <t>Cash to seller at close</t>
        </is>
      </c>
      <c r="B50" s="119">
        <f>IFERROR(B21,"—")</f>
        <v/>
      </c>
      <c r="C50" s="119">
        <f>IFERROR(C21,"—")</f>
        <v/>
      </c>
      <c r="D50" s="119">
        <f>IFERROR(D21,"—")</f>
        <v/>
      </c>
      <c r="E50" s="119">
        <f>IFERROR(E21,"—")</f>
        <v/>
      </c>
    </row>
    <row r="51">
      <c r="A51" t="inlineStr">
        <is>
          <t>Seller carries</t>
        </is>
      </c>
      <c r="B51" s="119">
        <f>IFERROR(B22,"—")</f>
        <v/>
      </c>
      <c r="C51" s="119">
        <f>IFERROR(C22,"—")</f>
        <v/>
      </c>
      <c r="D51" s="119">
        <f>IFERROR(D22,"—")</f>
        <v/>
      </c>
      <c r="E51" s="119">
        <f>IFERROR(E22,"—")</f>
        <v/>
      </c>
    </row>
    <row r="52">
      <c r="A52" t="inlineStr">
        <is>
          <t>Price vs their ask</t>
        </is>
      </c>
      <c r="B52" s="119">
        <f>IFERROR(B14-$B$6,"—")</f>
        <v/>
      </c>
      <c r="C52" s="119">
        <f>IFERROR(C14-$B$6,"—")</f>
        <v/>
      </c>
      <c r="D52" s="119">
        <f>IFERROR(D14-$B$6,"—")</f>
        <v/>
      </c>
      <c r="E52" s="119">
        <f>IFERROR(E14-$B$6,"—")</f>
        <v/>
      </c>
    </row>
    <row r="53">
      <c r="A53" t="inlineStr">
        <is>
          <t>Implied cap rate at this price</t>
        </is>
      </c>
      <c r="B53" s="124">
        <f>IFERROR($B$5/B14,"—")</f>
        <v/>
      </c>
      <c r="C53" s="124">
        <f>IFERROR($B$5/C14,"—")</f>
        <v/>
      </c>
      <c r="D53" s="124">
        <f>IFERROR($B$5/D14,"—")</f>
        <v/>
      </c>
      <c r="E53" s="124">
        <f>IFERROR($B$5/E14,"—")</f>
        <v/>
      </c>
    </row>
    <row r="55">
      <c r="A55" s="111" t="inlineStr">
        <is>
          <t>Sellers anchor on the headline price. Conceding price to win a rate cut often costs less than it looks — show them both columns.</t>
        </is>
      </c>
    </row>
    <row r="57">
      <c r="A57" s="125" t="inlineStr">
        <is>
          <t>REFI EXIT — can you actually get out at the balloon?</t>
        </is>
      </c>
      <c r="B57" s="113" t="n"/>
      <c r="C57" s="113" t="n"/>
      <c r="D57" s="113" t="n"/>
      <c r="E57" s="113" t="n"/>
    </row>
    <row r="58">
      <c r="A58" s="111" t="inlineStr">
        <is>
          <t>This is the test the whole model was built around: at the balloon, does a refinance cover what you still owe — senior plus the seller carry?</t>
        </is>
      </c>
    </row>
    <row r="59">
      <c r="A59" t="inlineStr">
        <is>
          <t>NOI growth to the balloon (forced appreciation) ★  (shared by all four)</t>
        </is>
      </c>
      <c r="B59" s="116" t="n">
        <v>0.03</v>
      </c>
    </row>
    <row r="60">
      <c r="A60" t="inlineStr">
        <is>
          <t>Exit cap rate ★  (shared by all four)</t>
        </is>
      </c>
      <c r="B60" s="116" t="n">
        <v>0.08</v>
      </c>
    </row>
    <row r="61">
      <c r="A61" t="inlineStr">
        <is>
          <t>Refi LTV ★  (shared by all four)</t>
        </is>
      </c>
      <c r="B61" s="116" t="n">
        <v>0.75</v>
      </c>
    </row>
    <row r="62">
      <c r="A62" t="inlineStr">
        <is>
          <t>Refi rate ★  (shared by all four)</t>
        </is>
      </c>
      <c r="B62" s="116" t="n">
        <v>0.07000000000000001</v>
      </c>
    </row>
    <row r="63">
      <c r="A63" t="inlineStr">
        <is>
          <t>Refi minimum DSCR ★  (shared by all four)</t>
        </is>
      </c>
      <c r="B63" s="115" t="n">
        <v>1.25</v>
      </c>
    </row>
    <row r="65">
      <c r="A65" t="inlineStr">
        <is>
          <t>Balloon year (from the lever above)</t>
        </is>
      </c>
      <c r="B65" s="127">
        <f>IFERROR(B18,"—")</f>
        <v/>
      </c>
      <c r="C65" s="127">
        <f>IFERROR(C18,"—")</f>
        <v/>
      </c>
      <c r="D65" s="127">
        <f>IFERROR(D18,"—")</f>
        <v/>
      </c>
      <c r="E65" s="127">
        <f>IFERROR(E18,"—")</f>
        <v/>
      </c>
    </row>
    <row r="66">
      <c r="A66" t="inlineStr">
        <is>
          <t>NOI at the balloon</t>
        </is>
      </c>
      <c r="B66" s="119">
        <f>IFERROR($B$5*(1+$B$59)^B18,"—")</f>
        <v/>
      </c>
      <c r="C66" s="119">
        <f>IFERROR($B$5*(1+$B$59)^C18,"—")</f>
        <v/>
      </c>
      <c r="D66" s="119">
        <f>IFERROR($B$5*(1+$B$59)^D18,"—")</f>
        <v/>
      </c>
      <c r="E66" s="119">
        <f>IFERROR($B$5*(1+$B$59)^E18,"—")</f>
        <v/>
      </c>
    </row>
    <row r="67">
      <c r="A67" t="inlineStr">
        <is>
          <t>Value at exit cap</t>
        </is>
      </c>
      <c r="B67" s="119">
        <f>IFERROR(B66/$B$60,"—")</f>
        <v/>
      </c>
      <c r="C67" s="119">
        <f>IFERROR(C66/$B$60,"—")</f>
        <v/>
      </c>
      <c r="D67" s="119">
        <f>IFERROR(D66/$B$60,"—")</f>
        <v/>
      </c>
      <c r="E67" s="119">
        <f>IFERROR(E66/$B$60,"—")</f>
        <v/>
      </c>
    </row>
    <row r="68">
      <c r="A68" t="inlineStr">
        <is>
          <t>Max refi loan — LTV limited</t>
        </is>
      </c>
      <c r="B68" s="119">
        <f>IFERROR(B67*$B$61,"—")</f>
        <v/>
      </c>
      <c r="C68" s="119">
        <f>IFERROR(C67*$B$61,"—")</f>
        <v/>
      </c>
      <c r="D68" s="119">
        <f>IFERROR(D67*$B$61,"—")</f>
        <v/>
      </c>
      <c r="E68" s="119">
        <f>IFERROR(E67*$B$61,"—")</f>
        <v/>
      </c>
    </row>
    <row r="69">
      <c r="A69" t="inlineStr">
        <is>
          <t>Max refi loan — DSCR limited</t>
        </is>
      </c>
      <c r="B69" s="119">
        <f>IFERROR(PV($B$62/12,360,-B66/$B$63/12),"—")</f>
        <v/>
      </c>
      <c r="C69" s="119">
        <f>IFERROR(PV($B$62/12,360,-C66/$B$63/12),"—")</f>
        <v/>
      </c>
      <c r="D69" s="119">
        <f>IFERROR(PV($B$62/12,360,-D66/$B$63/12),"—")</f>
        <v/>
      </c>
      <c r="E69" s="119">
        <f>IFERROR(PV($B$62/12,360,-E66/$B$63/12),"—")</f>
        <v/>
      </c>
    </row>
    <row r="70">
      <c r="A70" s="120" t="inlineStr">
        <is>
          <t>MAX REFI LOAN (the lower of the two)</t>
        </is>
      </c>
      <c r="B70" s="121">
        <f>IFERROR(MIN(B68,B69),"—")</f>
        <v/>
      </c>
      <c r="C70" s="121">
        <f>IFERROR(MIN(C68,C69),"—")</f>
        <v/>
      </c>
      <c r="D70" s="121">
        <f>IFERROR(MIN(D68,D69),"—")</f>
        <v/>
      </c>
      <c r="E70" s="121">
        <f>IFERROR(MIN(E68,E69),"—")</f>
        <v/>
      </c>
    </row>
    <row r="71">
      <c r="A71" t="inlineStr">
        <is>
          <t>Limiting constraint</t>
        </is>
      </c>
      <c r="B71" s="123">
        <f>IFERROR(IF(B68&lt;B69,"LTV","DSCR"),"—")</f>
        <v/>
      </c>
      <c r="C71" s="123">
        <f>IFERROR(IF(C68&lt;C69,"LTV","DSCR"),"—")</f>
        <v/>
      </c>
      <c r="D71" s="123">
        <f>IFERROR(IF(D68&lt;D69,"LTV","DSCR"),"—")</f>
        <v/>
      </c>
      <c r="E71" s="123">
        <f>IFERROR(IF(E68&lt;E69,"LTV","DSCR"),"—")</f>
        <v/>
      </c>
    </row>
    <row r="72">
      <c r="A72" t="inlineStr">
        <is>
          <t>Still owed at the balloon</t>
        </is>
      </c>
      <c r="B72" s="119">
        <f>IFERROR(B24,"—")</f>
        <v/>
      </c>
      <c r="C72" s="119">
        <f>IFERROR(C24,"—")</f>
        <v/>
      </c>
      <c r="D72" s="119">
        <f>IFERROR(D24,"—")</f>
        <v/>
      </c>
      <c r="E72" s="119">
        <f>IFERROR(E24,"—")</f>
        <v/>
      </c>
    </row>
    <row r="73">
      <c r="A73" s="120" t="inlineStr">
        <is>
          <t>REFI GAP  (positive = shortfall)</t>
        </is>
      </c>
      <c r="B73" s="121">
        <f>IFERROR(B72-B70,"—")</f>
        <v/>
      </c>
      <c r="C73" s="121">
        <f>IFERROR(C72-C70,"—")</f>
        <v/>
      </c>
      <c r="D73" s="121">
        <f>IFERROR(D72-D70,"—")</f>
        <v/>
      </c>
      <c r="E73" s="121">
        <f>IFERROR(E72-E70,"—")</f>
        <v/>
      </c>
    </row>
    <row r="74">
      <c r="A74" s="120" t="inlineStr">
        <is>
          <t>REFI VERDICT</t>
        </is>
      </c>
      <c r="B74" s="120">
        <f>IFERROR(IF(B73&lt;=0,"CLEARS — cash out of "&amp;TEXT(-B73,"$#,##0"),"SHORTFALL of "&amp;TEXT(B73,"$#,##0")&amp;" — you must bring it, extend, or sell"),"—")</f>
        <v/>
      </c>
      <c r="C74" s="120">
        <f>IFERROR(IF(C73&lt;=0,"CLEARS — cash out of "&amp;TEXT(-C73,"$#,##0"),"SHORTFALL of "&amp;TEXT(C73,"$#,##0")&amp;" — you must bring it, extend, or sell"),"—")</f>
        <v/>
      </c>
      <c r="D74" s="120">
        <f>IFERROR(IF(D73&lt;=0,"CLEARS — cash out of "&amp;TEXT(-D73,"$#,##0"),"SHORTFALL of "&amp;TEXT(D73,"$#,##0")&amp;" — you must bring it, extend, or sell"),"—")</f>
        <v/>
      </c>
      <c r="E74" s="120">
        <f>IFERROR(IF(E73&lt;=0,"CLEARS — cash out of "&amp;TEXT(-E73,"$#,##0"),"SHORTFALL of "&amp;TEXT(E73,"$#,##0")&amp;" — you must bring it, extend, or sell"),"—")</f>
        <v/>
      </c>
    </row>
    <row r="75">
      <c r="A75" t="inlineStr">
        <is>
          <t>Balloon length check</t>
        </is>
      </c>
      <c r="B75" s="132">
        <f>IFERROR(IF(B18&lt;5,"UNDER 5 YEARS — rarely enough forced appreciation to refinance out the carry","OK"),"—")</f>
        <v/>
      </c>
      <c r="C75" s="132">
        <f>IFERROR(IF(C18&lt;5,"UNDER 5 YEARS — rarely enough forced appreciation to refinance out the carry","OK"),"—")</f>
        <v/>
      </c>
      <c r="D75" s="132">
        <f>IFERROR(IF(D18&lt;5,"UNDER 5 YEARS — rarely enough forced appreciation to refinance out the carry","OK"),"—")</f>
        <v/>
      </c>
      <c r="E75" s="132">
        <f>IFERROR(IF(E18&lt;5,"UNDER 5 YEARS — rarely enough forced appreciation to refinance out the carry","OK"),"—")</f>
        <v/>
      </c>
    </row>
    <row r="77">
      <c r="A77" s="111" t="inlineStr">
        <is>
          <t>Typical balloons are 5, 10, 15 or 20 years. Five is the practical minimum: below that there is rarely enough forced appreciation for the refinance to cover the seller carry payoff.</t>
        </is>
      </c>
    </row>
    <row r="78">
      <c r="A78" s="111" t="inlineStr">
        <is>
          <t>An offer that clears both gates but fails the refi is not a deal — it is a deal with a date on it.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46" customWidth="1" min="1" max="1"/>
    <col width="18" customWidth="1" min="2" max="2"/>
    <col width="62" customWidth="1" min="3" max="3"/>
    <col width="3" customWidth="1" min="4" max="4"/>
  </cols>
  <sheetData>
    <row r="1">
      <c r="A1" s="109" t="inlineStr">
        <is>
          <t>ZOXIRO — LAND</t>
        </is>
      </c>
      <c r="B1" s="110" t="n"/>
      <c r="C1" s="110" t="n"/>
      <c r="D1" s="110" t="n"/>
    </row>
    <row r="2">
      <c r="A2" s="111" t="inlineStr">
        <is>
          <t>Land has no NOI. Nothing on the income tabs applies. ★ = you set it.</t>
        </is>
      </c>
    </row>
    <row r="4">
      <c r="A4" s="125" t="inlineStr">
        <is>
          <t>1. NAME THE PLAY — it decides everything after it</t>
        </is>
      </c>
      <c r="B4" s="113" t="n"/>
      <c r="C4" s="113" t="n"/>
      <c r="D4" s="113" t="n"/>
    </row>
    <row r="5">
      <c r="A5" t="inlineStr">
        <is>
          <t>Play  (1–6) ★</t>
        </is>
      </c>
      <c r="B5" s="118" t="n">
        <v>1</v>
      </c>
      <c r="C5" s="111" t="inlineStr">
        <is>
          <t>1 Wholesale · 2 Resale · 3 Owner-financed · 4 Entitlement · 5 Development · 6 Income land</t>
        </is>
      </c>
    </row>
    <row r="6">
      <c r="A6" t="inlineStr">
        <is>
          <t>Play in words</t>
        </is>
      </c>
      <c r="B6" s="123">
        <f>IFERROR(CHOOSE(B5,"Wholesale / assignment — no hold, screen on the spread","Resale flip — short hold, screen on margin over all-in","Owner-financed resale — exit is paper, underwrite the note too","Entitlement — the approval IS the deal","Development residual — land is what is left over","Income land — has real rent, use the income tabs not this one"),"—")</f>
        <v/>
      </c>
    </row>
    <row r="7">
      <c r="A7" s="111" t="inlineStr">
        <is>
          <t>If play = 6, stop. Income land has contractual rent — underwrite it on Assumptions / Income_Statement like any income asset.</t>
        </is>
      </c>
    </row>
    <row r="9">
      <c r="A9" s="125" t="inlineStr">
        <is>
          <t>2. THE KILL FILTER — answer these before any math</t>
        </is>
      </c>
      <c r="B9" s="113" t="n"/>
      <c r="C9" s="113" t="n"/>
      <c r="D9" s="113" t="n"/>
    </row>
    <row r="10">
      <c r="A10" t="inlineStr">
        <is>
          <t>Legal recorded access to a public road ★</t>
        </is>
      </c>
      <c r="B10" s="126" t="inlineStr">
        <is>
          <t>NOT STATED</t>
        </is>
      </c>
      <c r="C10" s="111" t="inlineStr">
        <is>
          <t>A gravel drive and a friendly neighbour are not access. Most common land killer.</t>
        </is>
      </c>
    </row>
    <row r="11">
      <c r="A11" t="inlineStr">
        <is>
          <t>Perc / soils (where no public sewer) ★</t>
        </is>
      </c>
      <c r="B11" s="126" t="inlineStr">
        <is>
          <t>NOT STATED</t>
        </is>
      </c>
      <c r="C11" s="111" t="inlineStr">
        <is>
          <t>No septic approval means no house means no retail buyer.</t>
        </is>
      </c>
    </row>
    <row r="12">
      <c r="A12" t="inlineStr">
        <is>
          <t>Utilities AT the parcel + extension cost ★</t>
        </is>
      </c>
      <c r="B12" s="126" t="inlineStr">
        <is>
          <t>NOT STATED</t>
        </is>
      </c>
      <c r="C12" s="111" t="inlineStr">
        <is>
          <t>'In the area' is not at the parcel. Get the distance and who pays.</t>
        </is>
      </c>
    </row>
    <row r="13">
      <c r="A13" t="inlineStr">
        <is>
          <t>FEMA flood zone / wetlands ★</t>
        </is>
      </c>
      <c r="B13" s="126" t="inlineStr">
        <is>
          <t>NOT STATED</t>
        </is>
      </c>
      <c r="C13" s="111" t="inlineStr">
        <is>
          <t>Wetlands do not stop the purchase. They stop the building.</t>
        </is>
      </c>
    </row>
    <row r="14">
      <c r="A14" t="inlineStr">
        <is>
          <t>Zoning + minimum lot size ★</t>
        </is>
      </c>
      <c r="B14" s="126" t="inlineStr">
        <is>
          <t>NOT STATED</t>
        </is>
      </c>
      <c r="C14" s="111" t="inlineStr">
        <is>
          <t>Decides how many lots the acreage actually yields.</t>
        </is>
      </c>
    </row>
    <row r="15">
      <c r="A15" t="inlineStr">
        <is>
          <t>Boundary / survey ★</t>
        </is>
      </c>
      <c r="B15" s="126" t="inlineStr">
        <is>
          <t>NOT STATED</t>
        </is>
      </c>
      <c r="C15" s="111" t="inlineStr">
        <is>
          <t>Deeded acres are often not surveyed acres.</t>
        </is>
      </c>
    </row>
    <row r="16">
      <c r="A16" t="inlineStr">
        <is>
          <t>Severed mineral / timber / water rights ★</t>
        </is>
      </c>
      <c r="B16" s="126" t="inlineStr">
        <is>
          <t>NOT STATED</t>
        </is>
      </c>
      <c r="C16" s="111" t="inlineStr">
        <is>
          <t>A severed mineral owner may have surface entry rights.</t>
        </is>
      </c>
    </row>
    <row r="17">
      <c r="A17" t="inlineStr">
        <is>
          <t>Back taxes, liens, special assessments ★</t>
        </is>
      </c>
      <c r="B17" s="126" t="inlineStr">
        <is>
          <t>NOT STATED</t>
        </is>
      </c>
      <c r="C17" s="111" t="inlineStr">
        <is>
          <t>Often the reason it is cheap.</t>
        </is>
      </c>
    </row>
    <row r="18">
      <c r="A18" t="inlineStr">
        <is>
          <t>Unresolved</t>
        </is>
      </c>
      <c r="B18" s="127">
        <f>COUNTIF(B10:B17,"NOT STATED")</f>
        <v/>
      </c>
      <c r="C18" s="111" t="inlineStr">
        <is>
          <t>Type OK / NOT STATED / KILL in column B</t>
        </is>
      </c>
    </row>
    <row r="19">
      <c r="A19" t="inlineStr">
        <is>
          <t>Kills</t>
        </is>
      </c>
      <c r="B19" s="127">
        <f>COUNTIF(B10:B17,"KILL")</f>
        <v/>
      </c>
    </row>
    <row r="20">
      <c r="A20" s="120" t="inlineStr">
        <is>
          <t>FILTER VERDICT</t>
        </is>
      </c>
      <c r="B20" s="120">
        <f>IFERROR(IF(B19&gt;0,"KILLED — "&amp;B19&amp;" fatal item(s)",IF(B18&gt;0,"PROCEED, BUT NAME THE "&amp;B18&amp;" UNRESOLVED IN THE VERDICT","All eight answered")),"—")</f>
        <v/>
      </c>
    </row>
    <row r="22">
      <c r="A22" s="125" t="inlineStr">
        <is>
          <t>3. ACREAGE &amp; VALUE — usable acres, never deeded</t>
        </is>
      </c>
      <c r="B22" s="113" t="n"/>
      <c r="C22" s="113" t="n"/>
      <c r="D22" s="113" t="n"/>
    </row>
    <row r="23">
      <c r="A23" t="inlineStr">
        <is>
          <t>Deeded acres ★</t>
        </is>
      </c>
      <c r="B23" s="115" t="n"/>
    </row>
    <row r="24">
      <c r="A24" t="inlineStr">
        <is>
          <t>Unusable acres (flood, wetland, ROW, unbuildable) ★</t>
        </is>
      </c>
      <c r="B24" s="115" t="n"/>
    </row>
    <row r="25">
      <c r="A25" s="120" t="inlineStr">
        <is>
          <t>USABLE ACRES</t>
        </is>
      </c>
      <c r="B25" s="128">
        <f>IFERROR(B23-B24,"—")</f>
        <v/>
      </c>
    </row>
    <row r="26">
      <c r="A26" t="inlineStr">
        <is>
          <t>Comp value $ per USABLE acre ★</t>
        </is>
      </c>
      <c r="B26" s="114" t="n"/>
      <c r="C26" s="111" t="inlineStr">
        <is>
          <t>Never blend comps across parcel-size classes without adjusting</t>
        </is>
      </c>
    </row>
    <row r="27">
      <c r="A27" t="inlineStr">
        <is>
          <t>Indicated value</t>
        </is>
      </c>
      <c r="B27" s="119">
        <f>IFERROR(B25*B26,"—")</f>
        <v/>
      </c>
    </row>
    <row r="28">
      <c r="A28" t="inlineStr">
        <is>
          <t>Asking price ★</t>
        </is>
      </c>
      <c r="B28" s="114" t="n"/>
    </row>
    <row r="29">
      <c r="A29" t="inlineStr">
        <is>
          <t>$ per usable acre at the ask</t>
        </is>
      </c>
      <c r="B29" s="119">
        <f>IFERROR(B28/B25,"—")</f>
        <v/>
      </c>
    </row>
    <row r="30">
      <c r="A30" t="inlineStr">
        <is>
          <t>Ask as % of indicated value</t>
        </is>
      </c>
      <c r="B30" s="124">
        <f>IFERROR(B28/B27,"—")</f>
        <v/>
      </c>
    </row>
    <row r="32">
      <c r="A32" s="125" t="inlineStr">
        <is>
          <t>4. CARRY — the whole expense model on any owned play</t>
        </is>
      </c>
      <c r="B32" s="113" t="n"/>
      <c r="C32" s="113" t="n"/>
      <c r="D32" s="113" t="n"/>
    </row>
    <row r="33">
      <c r="A33" t="inlineStr">
        <is>
          <t>Expected hold (months) ★</t>
        </is>
      </c>
      <c r="B33" s="118" t="n"/>
      <c r="C33" s="111" t="inlineStr">
        <is>
          <t>Near zero on a wholesale — do not manufacture a carry figure for play 1</t>
        </is>
      </c>
    </row>
    <row r="34">
      <c r="A34" t="inlineStr">
        <is>
          <t>Property tax / yr ★</t>
        </is>
      </c>
      <c r="B34" s="114" t="n"/>
    </row>
    <row r="35">
      <c r="A35" t="inlineStr">
        <is>
          <t>Insurance / yr ★</t>
        </is>
      </c>
      <c r="B35" s="114" t="n"/>
    </row>
    <row r="36">
      <c r="A36" t="inlineStr">
        <is>
          <t>Mowing, assessments, other / yr ★</t>
        </is>
      </c>
      <c r="B36" s="114" t="n"/>
    </row>
    <row r="37">
      <c r="A37" t="inlineStr">
        <is>
          <t>Interest if financed / yr ★</t>
        </is>
      </c>
      <c r="B37" s="114" t="n"/>
    </row>
    <row r="38">
      <c r="A38" s="120" t="inlineStr">
        <is>
          <t>TOTAL CARRY OVER THE HOLD</t>
        </is>
      </c>
      <c r="B38" s="121">
        <f>IFERROR((B34+B35+B36+B37)*B33/12,"—")</f>
        <v/>
      </c>
    </row>
    <row r="39">
      <c r="A39" t="inlineStr">
        <is>
          <t>Ag / current-use recoupment exposure ★</t>
        </is>
      </c>
      <c r="B39" s="114" t="n"/>
      <c r="C39" s="111" t="inlineStr">
        <is>
          <t>CAUV, rollback taxes, Williamson Act — clawback on change of use</t>
        </is>
      </c>
    </row>
    <row r="40">
      <c r="A40" t="inlineStr">
        <is>
          <t>Entitlement cost (play 4) ★</t>
        </is>
      </c>
      <c r="B40" s="114" t="n"/>
    </row>
    <row r="41">
      <c r="A41" t="inlineStr">
        <is>
          <t>Max carry months you can fund ★</t>
        </is>
      </c>
      <c r="B41" s="118" t="n">
        <v>24</v>
      </c>
    </row>
    <row r="42">
      <c r="A42" s="120" t="inlineStr">
        <is>
          <t>CARRY CAPACITY</t>
        </is>
      </c>
      <c r="B42" s="120">
        <f>IFERROR(IF(B33&gt;B41,"FAIL — hold exceeds what you can fund","OK"),"—")</f>
        <v/>
      </c>
    </row>
    <row r="44">
      <c r="A44" s="125" t="inlineStr">
        <is>
          <t>5. ALL-IN COST</t>
        </is>
      </c>
      <c r="B44" s="113" t="n"/>
      <c r="C44" s="113" t="n"/>
      <c r="D44" s="113" t="n"/>
    </row>
    <row r="45">
      <c r="A45" t="inlineStr">
        <is>
          <t>Purchase price ★</t>
        </is>
      </c>
      <c r="B45" s="114" t="n"/>
    </row>
    <row r="46">
      <c r="A46" t="inlineStr">
        <is>
          <t>Closing, survey, diligence ★</t>
        </is>
      </c>
      <c r="B46" s="114" t="n"/>
    </row>
    <row r="47">
      <c r="A47" t="inlineStr">
        <is>
          <t>Carry</t>
        </is>
      </c>
      <c r="B47" s="119">
        <f>IFERROR(B38,"—")</f>
        <v/>
      </c>
    </row>
    <row r="48">
      <c r="A48" t="inlineStr">
        <is>
          <t>Entitlement</t>
        </is>
      </c>
      <c r="B48" s="119">
        <f>IFERROR(B40,"—")</f>
        <v/>
      </c>
    </row>
    <row r="49">
      <c r="A49" t="inlineStr">
        <is>
          <t>Recoupment</t>
        </is>
      </c>
      <c r="B49" s="119">
        <f>IFERROR(B39,"—")</f>
        <v/>
      </c>
    </row>
    <row r="50">
      <c r="A50" s="120" t="inlineStr">
        <is>
          <t>TOTAL ALL-IN</t>
        </is>
      </c>
      <c r="B50" s="121">
        <f>IFERROR(SUM(B45:B49),"—")</f>
        <v/>
      </c>
    </row>
    <row r="52">
      <c r="A52" s="125" t="inlineStr">
        <is>
          <t>6. THE SCREEN — owned plays (2, 4, 5)</t>
        </is>
      </c>
      <c r="B52" s="113" t="n"/>
      <c r="C52" s="113" t="n"/>
      <c r="D52" s="113" t="n"/>
    </row>
    <row r="53">
      <c r="A53" t="inlineStr">
        <is>
          <t>Expected exit / resale value ★</t>
        </is>
      </c>
      <c r="B53" s="114" t="n"/>
    </row>
    <row r="54">
      <c r="A54" t="inlineStr">
        <is>
          <t>Selling costs ★</t>
        </is>
      </c>
      <c r="B54" s="114" t="n"/>
    </row>
    <row r="55">
      <c r="A55" t="inlineStr">
        <is>
          <t>Net proceeds</t>
        </is>
      </c>
      <c r="B55" s="119">
        <f>IFERROR(B53-B54,"—")</f>
        <v/>
      </c>
    </row>
    <row r="56">
      <c r="A56" t="inlineStr">
        <is>
          <t>Profit</t>
        </is>
      </c>
      <c r="B56" s="119">
        <f>IFERROR(B55-B50,"—")</f>
        <v/>
      </c>
    </row>
    <row r="57">
      <c r="A57" s="120" t="inlineStr">
        <is>
          <t>MARGIN ON ALL-IN INCLUDING CARRY</t>
        </is>
      </c>
      <c r="B57" s="129">
        <f>IFERROR(B56/B50,"—")</f>
        <v/>
      </c>
    </row>
    <row r="58">
      <c r="A58" t="inlineStr">
        <is>
          <t>Land margin target ★</t>
        </is>
      </c>
      <c r="B58" s="116" t="n">
        <v>0.3</v>
      </c>
    </row>
    <row r="59">
      <c r="A59" t="inlineStr">
        <is>
          <t>Land margin floor ★</t>
        </is>
      </c>
      <c r="B59" s="116" t="n">
        <v>0.2</v>
      </c>
    </row>
    <row r="60">
      <c r="A60" s="120" t="inlineStr">
        <is>
          <t>MARGIN VERDICT</t>
        </is>
      </c>
      <c r="B60" s="120">
        <f>IFERROR(IF(B57&gt;=B58,"CLEARS TARGET",IF(B57&gt;=B59,"BETWEEN FLOOR AND TARGET","BELOW FLOOR — PASS")),"—")</f>
        <v/>
      </c>
    </row>
    <row r="62">
      <c r="A62" s="125" t="inlineStr">
        <is>
          <t>7. THE SCREEN — wholesale (play 1). No carry, no margin. Spread only.</t>
        </is>
      </c>
      <c r="B62" s="113" t="n"/>
      <c r="C62" s="113" t="n"/>
      <c r="D62" s="113" t="n"/>
    </row>
    <row r="63">
      <c r="A63" t="inlineStr">
        <is>
          <t>Max % of market you will contract at ★</t>
        </is>
      </c>
      <c r="B63" s="116" t="n">
        <v>0.5</v>
      </c>
    </row>
    <row r="64">
      <c r="A64" t="inlineStr">
        <is>
          <t>Max contract price</t>
        </is>
      </c>
      <c r="B64" s="119">
        <f>IFERROR(B27*B63,"—")</f>
        <v/>
      </c>
    </row>
    <row r="65">
      <c r="A65" t="inlineStr">
        <is>
          <t>Expected resale to your buyer ★</t>
        </is>
      </c>
      <c r="B65" s="114" t="n"/>
    </row>
    <row r="66">
      <c r="A66" t="inlineStr">
        <is>
          <t>Closing costs — BOTH legs ★</t>
        </is>
      </c>
      <c r="B66" s="114" t="n"/>
    </row>
    <row r="67">
      <c r="A67" t="inlineStr">
        <is>
          <t>Double-close funding fee ★</t>
        </is>
      </c>
      <c r="B67" s="114" t="n"/>
    </row>
    <row r="68">
      <c r="A68" s="120" t="inlineStr">
        <is>
          <t>SPREAD LEFT</t>
        </is>
      </c>
      <c r="B68" s="121">
        <f>IFERROR(B65-B45-B66-B67,"—")</f>
        <v/>
      </c>
    </row>
    <row r="69">
      <c r="A69" t="inlineStr">
        <is>
          <t>Minimum spread worth doing ★</t>
        </is>
      </c>
      <c r="B69" s="114" t="n">
        <v>10000</v>
      </c>
    </row>
    <row r="70">
      <c r="A70" s="120" t="inlineStr">
        <is>
          <t>SPREAD VERDICT</t>
        </is>
      </c>
      <c r="B70" s="120">
        <f>IFERROR(IF(B68&gt;=B69,"CLEARS","BELOW MINIMUM — PASS"),"—")</f>
        <v/>
      </c>
    </row>
    <row r="71">
      <c r="A71" s="111" t="inlineStr">
        <is>
          <t>Spread is what is LEFT after closing costs on both legs and the funding fee — not the gap between the two contract prices.</t>
        </is>
      </c>
    </row>
    <row r="72">
      <c r="A72" s="111" t="inlineStr">
        <is>
          <t>On a wholesale the risk is the BUYER, not the hold: earnest money at risk, inspection window, is the contract even assignable, is there a second buyer.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46" customWidth="1" min="1" max="1"/>
    <col width="18" customWidth="1" min="2" max="2"/>
    <col width="64" customWidth="1" min="3" max="3"/>
    <col width="3" customWidth="1" min="4" max="4"/>
  </cols>
  <sheetData>
    <row r="1">
      <c r="A1" s="109" t="inlineStr">
        <is>
          <t>ZOXIRO — LEASEHOLD vs FEE SIMPLE</t>
        </is>
      </c>
      <c r="B1" s="110" t="n"/>
      <c r="C1" s="110" t="n"/>
      <c r="D1" s="110" t="n"/>
    </row>
    <row r="2">
      <c r="A2" s="111" t="inlineStr">
        <is>
          <t>A cap rate assumes the income never stops. On a leasehold it stops on a date. Run this whenever the interest is not fee simple.</t>
        </is>
      </c>
    </row>
    <row r="4">
      <c r="A4" s="125" t="inlineStr">
        <is>
          <t>1. WHAT ARE YOU ACTUALLY BUYING?</t>
        </is>
      </c>
      <c r="B4" s="113" t="n"/>
      <c r="C4" s="113" t="n"/>
      <c r="D4" s="113" t="n"/>
    </row>
    <row r="5">
      <c r="A5" t="inlineStr">
        <is>
          <t>Interest  (1 = Fee simple, 2 = Leasehold) ★</t>
        </is>
      </c>
      <c r="B5" s="118" t="n">
        <v>1</v>
      </c>
    </row>
    <row r="6">
      <c r="A6" t="inlineStr">
        <is>
          <t>Ground lease expiry date ★</t>
        </is>
      </c>
      <c r="B6" s="130" t="n"/>
      <c r="C6" s="111" t="inlineStr">
        <is>
          <t>From the CURRENT amendment — not the lease abstract, which is often years out of date</t>
        </is>
      </c>
    </row>
    <row r="7">
      <c r="A7" t="inlineStr">
        <is>
          <t>Today</t>
        </is>
      </c>
      <c r="B7" s="131">
        <f>TODAY()</f>
        <v/>
      </c>
    </row>
    <row r="8">
      <c r="A8" s="120" t="inlineStr">
        <is>
          <t>YEARS REMAINING</t>
        </is>
      </c>
      <c r="B8" s="128">
        <f>IFERROR(IF(B5=2,YEARFRAC(B7,B6),"n/a — fee simple"),"—")</f>
        <v/>
      </c>
    </row>
    <row r="9">
      <c r="A9" t="inlineStr">
        <is>
          <t>Annual ground rent ★</t>
        </is>
      </c>
      <c r="B9" s="114" t="n"/>
      <c r="C9" s="111" t="inlineStr">
        <is>
          <t>Senior to every other claim on the property</t>
        </is>
      </c>
    </row>
    <row r="10">
      <c r="A10" t="inlineStr">
        <is>
          <t>Rent reset / escalation mechanism ★</t>
        </is>
      </c>
      <c r="B10" s="126" t="n"/>
      <c r="C10" s="111" t="inlineStr">
        <is>
          <t>e.g. resets every 5 yrs to 80% of average total rent paid — ratchets up with YOUR success</t>
        </is>
      </c>
    </row>
    <row r="11">
      <c r="A11" t="inlineStr">
        <is>
          <t>Residual to you at expiry ★</t>
        </is>
      </c>
      <c r="B11" s="114" t="n">
        <v>0</v>
      </c>
      <c r="C11" s="111" t="inlineStr">
        <is>
          <t>Usually 0 — improvements revert. NEGATIVE if the lessor can require removal at your cost.</t>
        </is>
      </c>
    </row>
    <row r="13">
      <c r="A13" s="125" t="inlineStr">
        <is>
          <t>2. THE NUMBER THE BROKER QUOTES</t>
        </is>
      </c>
      <c r="B13" s="113" t="n"/>
      <c r="C13" s="113" t="n"/>
      <c r="D13" s="113" t="n"/>
    </row>
    <row r="14">
      <c r="A14" t="inlineStr">
        <is>
          <t>NOI after ground rent ★</t>
        </is>
      </c>
      <c r="B14" s="114" t="n"/>
    </row>
    <row r="15">
      <c r="A15" t="inlineStr">
        <is>
          <t>Asking price ★</t>
        </is>
      </c>
      <c r="B15" s="114" t="n"/>
    </row>
    <row r="16">
      <c r="A16" t="inlineStr">
        <is>
          <t>Quoted cap rate</t>
        </is>
      </c>
      <c r="B16" s="124">
        <f>IFERROR(B14/B15,"—")</f>
        <v/>
      </c>
    </row>
    <row r="17">
      <c r="A17" t="inlineStr">
        <is>
          <t>READ THIS</t>
        </is>
      </c>
      <c r="B17" s="132">
        <f>IFERROR(IF(B5=2,"NOT A CAP RATE. This treats a lease ending in "&amp;TEXT(B8,"0.0")&amp;" years as though it ran forever. Use section 3.","Fee simple — cap rate is valid."),"—")</f>
        <v/>
      </c>
    </row>
    <row r="19">
      <c r="A19" s="125" t="inlineStr">
        <is>
          <t>3. WHAT A FINITE TERM ACTUALLY SUPPORTS</t>
        </is>
      </c>
      <c r="B19" s="113" t="n"/>
      <c r="C19" s="113" t="n"/>
      <c r="D19" s="113" t="n"/>
    </row>
    <row r="20">
      <c r="A20" t="inlineStr">
        <is>
          <t>Discount rate ★</t>
        </is>
      </c>
      <c r="B20" s="116" t="n">
        <v>0.09</v>
      </c>
      <c r="C20" s="111" t="inlineStr">
        <is>
          <t>Carry the finite term, the vacancy, the counterparty and the building age in this number</t>
        </is>
      </c>
    </row>
    <row r="21">
      <c r="A21" t="inlineStr">
        <is>
          <t>Annual NOI growth ★</t>
        </is>
      </c>
      <c r="B21" s="116" t="n">
        <v>0.025</v>
      </c>
      <c r="C21" s="111" t="inlineStr">
        <is>
          <t>Net of the ground rent ratchet, not gross of it</t>
        </is>
      </c>
    </row>
    <row r="22">
      <c r="A22" s="120" t="inlineStr">
        <is>
          <t>SUPPORTABLE VALUE</t>
        </is>
      </c>
      <c r="B22" s="121">
        <f>IFERROR(IF(B5&lt;&gt;2,"n/a — fee simple",B14*(1-((1+B21)/(1+B20))^B8)/(B20-B21)+B11/((1+B20)^B8)),"—")</f>
        <v/>
      </c>
    </row>
    <row r="23">
      <c r="A23" t="inlineStr">
        <is>
          <t>Gap vs the ask</t>
        </is>
      </c>
      <c r="B23" s="119">
        <f>IFERROR(IF(B5&lt;&gt;2,"n/a",B15-B22),"—")</f>
        <v/>
      </c>
    </row>
    <row r="24">
      <c r="A24" t="inlineStr">
        <is>
          <t>Ask as a multiple of supportable</t>
        </is>
      </c>
      <c r="B24" s="122">
        <f>IFERROR(IF(B5&lt;&gt;2,"n/a",B15/B22),"—")</f>
        <v/>
      </c>
    </row>
    <row r="26">
      <c r="A26" s="125" t="inlineStr">
        <is>
          <t>4. SENSITIVITY — supportable value by discount rate</t>
        </is>
      </c>
      <c r="B26" s="113" t="n"/>
      <c r="C26" s="113" t="n"/>
      <c r="D26" s="113" t="n"/>
    </row>
    <row r="27">
      <c r="A27" t="inlineStr">
        <is>
          <t xml:space="preserve">  at 8%</t>
        </is>
      </c>
      <c r="B27" s="119">
        <f>IFERROR(IF($B$5&lt;&gt;2,"n/a",$B$14*(1-((1+$B$21)/(1+0.08))^$B$8)/(0.08-$B$21)+$B$11/((1+0.08)^$B$8)),"—")</f>
        <v/>
      </c>
    </row>
    <row r="28">
      <c r="A28" t="inlineStr">
        <is>
          <t xml:space="preserve">  at 9%</t>
        </is>
      </c>
      <c r="B28" s="119">
        <f>IFERROR(IF($B$5&lt;&gt;2,"n/a",$B$14*(1-((1+$B$21)/(1+0.09))^$B$8)/(0.09-$B$21)+$B$11/((1+0.09)^$B$8)),"—")</f>
        <v/>
      </c>
    </row>
    <row r="29">
      <c r="A29" t="inlineStr">
        <is>
          <t xml:space="preserve">  at 10%</t>
        </is>
      </c>
      <c r="B29" s="119">
        <f>IFERROR(IF($B$5&lt;&gt;2,"n/a",$B$14*(1-((1+$B$21)/(1+0.1))^$B$8)/(0.1-$B$21)+$B$11/((1+0.1)^$B$8)),"—")</f>
        <v/>
      </c>
    </row>
    <row r="30">
      <c r="A30" t="inlineStr">
        <is>
          <t xml:space="preserve">  at 11%</t>
        </is>
      </c>
      <c r="B30" s="119">
        <f>IFERROR(IF($B$5&lt;&gt;2,"n/a",$B$14*(1-((1+$B$21)/(1+0.11))^$B$8)/(0.11-$B$21)+$B$11/((1+0.11)^$B$8)),"—")</f>
        <v/>
      </c>
    </row>
    <row r="32">
      <c r="A32" s="125" t="inlineStr">
        <is>
          <t>5. THINGS A CAP RATE NEVER SHOWS — check each</t>
        </is>
      </c>
      <c r="B32" s="113" t="n"/>
      <c r="C32" s="113" t="n"/>
      <c r="D32" s="113" t="n"/>
    </row>
    <row r="33">
      <c r="A33" t="inlineStr">
        <is>
          <t xml:space="preserve">  Ground rent reset formula and next reset date</t>
        </is>
      </c>
      <c r="B33" s="126" t="inlineStr">
        <is>
          <t>NOT CHECKED</t>
        </is>
      </c>
      <c r="C33" s="111" t="inlineStr">
        <is>
          <t>Can ratchet up as the property's income grows</t>
        </is>
      </c>
    </row>
    <row r="34">
      <c r="A34" t="inlineStr">
        <is>
          <t xml:space="preserve">  Percentage rent owed to the lessor</t>
        </is>
      </c>
      <c r="B34" s="126" t="inlineStr">
        <is>
          <t>NOT CHECKED</t>
        </is>
      </c>
      <c r="C34" s="111" t="inlineStr">
        <is>
          <t>Often collected from subtenants and remitted — quantify it, never assume zero</t>
        </is>
      </c>
    </row>
    <row r="35">
      <c r="A35" t="inlineStr">
        <is>
          <t xml:space="preserve">  Transfer fee on assignment</t>
        </is>
      </c>
      <c r="B35" s="126" t="inlineStr">
        <is>
          <t>NOT CHECKED</t>
        </is>
      </c>
      <c r="C35" s="111" t="inlineStr">
        <is>
          <t>The lessor may take a cut of YOUR sale price</t>
        </is>
      </c>
    </row>
    <row r="36">
      <c r="A36" t="inlineStr">
        <is>
          <t xml:space="preserve">  Financing limits (max LTV, approved lender)</t>
        </is>
      </c>
      <c r="B36" s="126" t="inlineStr">
        <is>
          <t>NOT CHECKED</t>
        </is>
      </c>
      <c r="C36" s="111" t="inlineStr">
        <is>
          <t>A leasehold loan usually must fully amortise inside the term</t>
        </is>
      </c>
    </row>
    <row r="37">
      <c r="A37" t="inlineStr">
        <is>
          <t xml:space="preserve">  Consent required to improve or change use</t>
        </is>
      </c>
      <c r="B37" s="126" t="inlineStr">
        <is>
          <t>NOT CHECKED</t>
        </is>
      </c>
      <c r="C37" s="111" t="inlineStr">
        <is>
          <t>May need a public agency or coastal/planning authority</t>
        </is>
      </c>
    </row>
    <row r="38">
      <c r="A38" t="inlineStr">
        <is>
          <t xml:space="preserve">  Operating covenants (hours, continuous use)</t>
        </is>
      </c>
      <c r="B38" s="126" t="inlineStr">
        <is>
          <t>NOT CHECKED</t>
        </is>
      </c>
      <c r="C38" s="111" t="inlineStr">
        <is>
          <t>An obligation, not a choice</t>
        </is>
      </c>
    </row>
    <row r="39">
      <c r="A39" t="inlineStr">
        <is>
          <t xml:space="preserve">  Security deposit owed to the lessor</t>
        </is>
      </c>
      <c r="B39" s="126" t="inlineStr">
        <is>
          <t>NOT CHECKED</t>
        </is>
      </c>
      <c r="C39" s="111" t="inlineStr">
        <is>
          <t>Cash at closing nobody budgets for</t>
        </is>
      </c>
    </row>
    <row r="40">
      <c r="A40" t="inlineStr">
        <is>
          <t xml:space="preserve">  Extension history and what each one cost</t>
        </is>
      </c>
      <c r="B40" s="126" t="inlineStr">
        <is>
          <t>NOT CHECKED</t>
        </is>
      </c>
      <c r="C40" s="111" t="inlineStr">
        <is>
          <t>Extensions are purchasable, not automatic</t>
        </is>
      </c>
    </row>
    <row r="41">
      <c r="A41" s="120" t="inlineStr">
        <is>
          <t>UNCHECKED ITEMS</t>
        </is>
      </c>
      <c r="B41" s="133">
        <f>COUNTIF(B33:B40,"NOT CHECKED")</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6" customWidth="1" min="1" max="1"/>
    <col width="18" customWidth="1" min="2" max="2"/>
    <col width="64" customWidth="1" min="3" max="3"/>
    <col width="3" customWidth="1" min="4" max="4"/>
  </cols>
  <sheetData>
    <row r="1">
      <c r="A1" s="109" t="inlineStr">
        <is>
          <t>ZOXIRO — RECOVERY RATIO (multi-tenant commercial)</t>
        </is>
      </c>
      <c r="B1" s="110" t="n"/>
      <c r="C1" s="110" t="n"/>
      <c r="D1" s="110" t="n"/>
    </row>
    <row r="2">
      <c r="A2" s="111" t="inlineStr">
        <is>
          <t>A centre with some NNN tenants and some gross tenants never recovers 100%. The gap is real money you pay every year.</t>
        </is>
      </c>
    </row>
    <row r="4">
      <c r="A4" s="125" t="inlineStr">
        <is>
          <t>1. FLOOR AREA</t>
        </is>
      </c>
      <c r="B4" s="113" t="n"/>
      <c r="C4" s="113" t="n"/>
      <c r="D4" s="113" t="n"/>
    </row>
    <row r="5">
      <c r="A5" t="inlineStr">
        <is>
          <t>Total GLA ★</t>
        </is>
      </c>
      <c r="B5" s="118" t="n"/>
    </row>
    <row r="6">
      <c r="A6" t="inlineStr">
        <is>
          <t>Occupied GLA ★</t>
        </is>
      </c>
      <c r="B6" s="118" t="n"/>
    </row>
    <row r="7">
      <c r="A7" t="inlineStr">
        <is>
          <t>GLA actually paying CAM / NNN ★</t>
        </is>
      </c>
      <c r="B7" s="118" t="n"/>
    </row>
    <row r="8">
      <c r="A8" t="inlineStr">
        <is>
          <t>Vacant GLA</t>
        </is>
      </c>
      <c r="B8" s="127">
        <f>IFERROR(B5-B6,"—")</f>
        <v/>
      </c>
    </row>
    <row r="9">
      <c r="A9" t="inlineStr">
        <is>
          <t>Occupied but paying no CAM (gross leases)</t>
        </is>
      </c>
      <c r="B9" s="127">
        <f>IFERROR(B6-B7,"—")</f>
        <v/>
      </c>
    </row>
    <row r="10">
      <c r="A10" s="120" t="inlineStr">
        <is>
          <t>CONTRIBUTING NOTHING</t>
        </is>
      </c>
      <c r="B10" s="133">
        <f>IFERROR(B8+B9,"—")</f>
        <v/>
      </c>
    </row>
    <row r="11">
      <c r="A11" s="120" t="inlineStr">
        <is>
          <t>as % of the centre</t>
        </is>
      </c>
      <c r="B11" s="129">
        <f>IFERROR(B10/B5,"—")</f>
        <v/>
      </c>
    </row>
    <row r="13">
      <c r="A13" s="125" t="inlineStr">
        <is>
          <t>2. THE POOL — ACTUALS ONLY, never a pro forma</t>
        </is>
      </c>
      <c r="B13" s="113" t="n"/>
      <c r="C13" s="113" t="n"/>
      <c r="D13" s="113" t="n"/>
    </row>
    <row r="14">
      <c r="A14" t="inlineStr">
        <is>
          <t>Common area maintenance ★</t>
        </is>
      </c>
      <c r="B14" s="114" t="n"/>
    </row>
    <row r="15">
      <c r="A15" t="inlineStr">
        <is>
          <t>Insurance ★</t>
        </is>
      </c>
      <c r="B15" s="114" t="n"/>
    </row>
    <row r="16">
      <c r="A16" t="inlineStr">
        <is>
          <t>Property tax ★</t>
        </is>
      </c>
      <c r="B16" s="114" t="n"/>
    </row>
    <row r="17">
      <c r="A17" t="inlineStr">
        <is>
          <t>Management, if recoverable ★</t>
        </is>
      </c>
      <c r="B17" s="114" t="n">
        <v>0</v>
      </c>
    </row>
    <row r="18">
      <c r="A18" s="120" t="inlineStr">
        <is>
          <t>TOTAL RECOVERABLE</t>
        </is>
      </c>
      <c r="B18" s="121">
        <f>IFERROR(SUM(B14:B17),"—")</f>
        <v/>
      </c>
    </row>
    <row r="19">
      <c r="A19" t="inlineStr">
        <is>
          <t>Reimbursement income received ★</t>
        </is>
      </c>
      <c r="B19" s="114" t="n"/>
    </row>
    <row r="20">
      <c r="A20" s="120" t="inlineStr">
        <is>
          <t>RECOVERY RATIO</t>
        </is>
      </c>
      <c r="B20" s="129">
        <f>IFERROR(B19/B18,"—")</f>
        <v/>
      </c>
    </row>
    <row r="21">
      <c r="A21" s="120" t="inlineStr">
        <is>
          <t>LANDLORD ABSORBS</t>
        </is>
      </c>
      <c r="B21" s="121">
        <f>IFERROR(B18-B19,"—")</f>
        <v/>
      </c>
    </row>
    <row r="22">
      <c r="A22" s="111" t="inlineStr">
        <is>
          <t>If the package grosses reimbursements up to a full centre while showing expenses at actual, NOI is overstated. Check which year each side came from.</t>
        </is>
      </c>
    </row>
    <row r="24">
      <c r="A24" s="125" t="inlineStr">
        <is>
          <t>3. THE QUESTION THE DEAL TURNS ON</t>
        </is>
      </c>
      <c r="B24" s="113" t="n"/>
      <c r="C24" s="113" t="n"/>
      <c r="D24" s="113" t="n"/>
    </row>
    <row r="25">
      <c r="A25" t="inlineStr">
        <is>
          <t>Pool spread over ALL floor area</t>
        </is>
      </c>
      <c r="B25" s="119">
        <f>IFERROR(B18/B5,"—")</f>
        <v/>
      </c>
    </row>
    <row r="26">
      <c r="A26" t="inlineStr">
        <is>
          <t>Actually recovered per PAYING foot</t>
        </is>
      </c>
      <c r="B26" s="119">
        <f>IFERROR(B19/B7,"—")</f>
        <v/>
      </c>
    </row>
    <row r="27">
      <c r="A27" t="inlineStr">
        <is>
          <t>Paying tenants vs strict pro-rata</t>
        </is>
      </c>
      <c r="B27" s="122">
        <f>IFERROR(B26/B25,"—")</f>
        <v/>
      </c>
    </row>
    <row r="28">
      <c r="A28" s="120" t="inlineStr">
        <is>
          <t>READING</t>
        </is>
      </c>
      <c r="B28" s="120">
        <f>IFERROR(IF(B27&gt;1.1,"Billed on OCCUPIED area, or a fixed charge above cost. Leasing up REDISTRIBUTES the pool — it does not add recovery income. And existing tenants carry an above-market occupancy cost, which makes renewal harder.",IF(B27&lt;0.9,"Recovering BELOW pro-rata — check for caps on controllables, base years, or an unbilled admin fee.","Close to strict pro-rata.")),"—")</f>
        <v/>
      </c>
    </row>
    <row r="29">
      <c r="A29" s="111" t="inlineStr">
        <is>
          <t>Only the leases answer this. It is the single most valuable thing to read before bidding on a mixed-recovery centre.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48" customWidth="1" min="1" max="1"/>
    <col width="18" customWidth="1" min="2" max="2"/>
    <col width="62" customWidth="1" min="3" max="3"/>
    <col width="3" customWidth="1" min="4" max="4"/>
  </cols>
  <sheetData>
    <row r="1">
      <c r="A1" s="109" t="inlineStr">
        <is>
          <t>ZOXIRO — PREFERRED EQUITY PARTNER</t>
        </is>
      </c>
      <c r="B1" s="110" t="n"/>
      <c r="C1" s="110" t="n"/>
      <c r="D1" s="110" t="n"/>
    </row>
    <row r="2">
      <c r="A2" s="111" t="inlineStr">
        <is>
          <t>When someone else puts up part of the cash and gets paid before you do. ★ = you set it.</t>
        </is>
      </c>
    </row>
    <row r="4">
      <c r="A4" s="125" t="inlineStr">
        <is>
          <t>1. WHO PUTS UP WHAT</t>
        </is>
      </c>
      <c r="B4" s="113" t="n"/>
      <c r="C4" s="113" t="n"/>
      <c r="D4" s="113" t="n"/>
    </row>
    <row r="5">
      <c r="A5" t="inlineStr">
        <is>
          <t>Total cash needed at close</t>
        </is>
      </c>
      <c r="B5" s="119">
        <f>IFERROR(Income_Statement!B38,"—")</f>
        <v/>
      </c>
      <c r="C5" s="111" t="inlineStr">
        <is>
          <t>Pulls total cash invested from the Income Statement</t>
        </is>
      </c>
    </row>
    <row r="6">
      <c r="A6" t="inlineStr">
        <is>
          <t>Your cash ★</t>
        </is>
      </c>
      <c r="B6" s="114" t="n"/>
    </row>
    <row r="7">
      <c r="A7" t="inlineStr">
        <is>
          <t>Preferred partner's cash ★</t>
        </is>
      </c>
      <c r="B7" s="114" t="n"/>
    </row>
    <row r="8">
      <c r="A8" s="120" t="inlineStr">
        <is>
          <t>Total put in</t>
        </is>
      </c>
      <c r="B8" s="121">
        <f>IFERROR(B6+B7,"—")</f>
        <v/>
      </c>
    </row>
    <row r="9">
      <c r="A9" s="120" t="inlineStr">
        <is>
          <t>CHECK</t>
        </is>
      </c>
      <c r="B9" s="120">
        <f>IFERROR(IF(ROUND(B8-B5,0)=0,"✓ matches cash needed","✗ OFF BY "&amp;TEXT(B8-B5,"$#,##0")&amp;" — the two sides must agree"),"—")</f>
        <v/>
      </c>
    </row>
    <row r="10">
      <c r="A10" t="inlineStr">
        <is>
          <t>Your share of the money in</t>
        </is>
      </c>
      <c r="B10" s="124">
        <f>IFERROR(B6/B8,"—")</f>
        <v/>
      </c>
    </row>
    <row r="12">
      <c r="A12" s="125" t="inlineStr">
        <is>
          <t>2. WHAT THE PARTNER GETS — they are paid FIRST</t>
        </is>
      </c>
      <c r="B12" s="113" t="n"/>
      <c r="C12" s="113" t="n"/>
      <c r="D12" s="113" t="n"/>
    </row>
    <row r="13">
      <c r="A13" t="inlineStr">
        <is>
          <t>Preferred return rate ★</t>
        </is>
      </c>
      <c r="B13" s="116" t="n">
        <v>0.09</v>
      </c>
      <c r="C13" s="111" t="inlineStr">
        <is>
          <t>Typical 8–10%. This is their rate, not a share of profit.</t>
        </is>
      </c>
    </row>
    <row r="14">
      <c r="A14" t="inlineStr">
        <is>
          <t>Paid current, or accrues?  (1 = current, 2 = accrues) ★</t>
        </is>
      </c>
      <c r="B14" s="115" t="n">
        <v>1</v>
      </c>
      <c r="C14" s="111" t="inlineStr">
        <is>
          <t>Accrued pref compounds and is repaid at the exit — cheaper monthly, bigger at the end</t>
        </is>
      </c>
    </row>
    <row r="15">
      <c r="A15" s="120" t="inlineStr">
        <is>
          <t>Annual preferred owed</t>
        </is>
      </c>
      <c r="B15" s="121">
        <f>IFERROR(B7*B13,"—")</f>
        <v/>
      </c>
    </row>
    <row r="17">
      <c r="A17" s="125" t="inlineStr">
        <is>
          <t>3. THE ANNUAL SPLIT</t>
        </is>
      </c>
      <c r="B17" s="113" t="n"/>
      <c r="C17" s="113" t="n"/>
      <c r="D17" s="113" t="n"/>
    </row>
    <row r="18">
      <c r="A18" t="inlineStr">
        <is>
          <t>Cash flow after debt service</t>
        </is>
      </c>
      <c r="B18" s="119">
        <f>IFERROR(Income_Statement!B30,"—")</f>
        <v/>
      </c>
    </row>
    <row r="19">
      <c r="A19" t="inlineStr">
        <is>
          <t>Paid to the preferred partner</t>
        </is>
      </c>
      <c r="B19" s="119">
        <f>IFERROR(IF(B14=2,0,MIN(B18,B15)),"—")</f>
        <v/>
      </c>
    </row>
    <row r="20">
      <c r="A20" t="inlineStr">
        <is>
          <t>Shortfall accruing to the partner</t>
        </is>
      </c>
      <c r="B20" s="136">
        <f>IFERROR(IF(B14=2,B15,MAX(0,B15-B18)),"—")</f>
        <v/>
      </c>
    </row>
    <row r="21">
      <c r="A21" s="120" t="inlineStr">
        <is>
          <t>LEFT FOR YOU</t>
        </is>
      </c>
      <c r="B21" s="121">
        <f>IFERROR(B18-B19,"—")</f>
        <v/>
      </c>
    </row>
    <row r="22">
      <c r="A22" t="inlineStr">
        <is>
          <t>Preferred coverage</t>
        </is>
      </c>
      <c r="B22" s="122">
        <f>IFERROR(IF(B15=0,"no pref",B18/B15),"—")</f>
        <v/>
      </c>
      <c r="C22" s="111" t="inlineStr">
        <is>
          <t>Below 1.00 you are not covering their return out of cash flow</t>
        </is>
      </c>
    </row>
    <row r="23">
      <c r="A23" s="120" t="inlineStr">
        <is>
          <t>COVERAGE READING</t>
        </is>
      </c>
      <c r="B23" s="120">
        <f>IFERROR(IF(B15=0,"No preferred partner in this deal.",IF(B18&gt;=B15,"Cash flow covers the preferred return with "&amp;TEXT(B18-B15,"$#,##0")&amp;" left for you.","Cash flow does NOT cover the preferred return. Shortfall "&amp;TEXT(B15-B18,"$#,##0")&amp;" — it accrues against you and grows.")),"—")</f>
        <v/>
      </c>
    </row>
    <row r="25">
      <c r="A25" s="125" t="inlineStr">
        <is>
          <t>4. YOUR RETURN — on YOUR money, not the total</t>
        </is>
      </c>
      <c r="B25" s="113" t="n"/>
      <c r="C25" s="113" t="n"/>
      <c r="D25" s="113" t="n"/>
    </row>
    <row r="26">
      <c r="A26" s="120" t="inlineStr">
        <is>
          <t>Your cash-on-cash</t>
        </is>
      </c>
      <c r="B26" s="129">
        <f>IFERROR(IF(B6&lt;=0,"no cash in",B21/B6),"—")</f>
        <v/>
      </c>
    </row>
    <row r="27">
      <c r="A27" t="inlineStr">
        <is>
          <t>Cash-on-cash floor</t>
        </is>
      </c>
      <c r="B27" s="124">
        <f>IFERROR(Assumptions!B69,0.15)</f>
        <v/>
      </c>
    </row>
    <row r="28">
      <c r="A28" s="120" t="inlineStr">
        <is>
          <t>GATE</t>
        </is>
      </c>
      <c r="B28" s="120">
        <f>IFERROR(IF(NOT(ISNUMBER(B26)),"—",IF(B26&gt;=B27,"PASS","FAIL")),"—")</f>
        <v/>
      </c>
    </row>
    <row r="29">
      <c r="A29" s="111" t="inlineStr">
        <is>
          <t>This is the number that matters when a partner is in the deal. The Income Statement measures the return on ALL the cash; this measures the return on YOURS.</t>
        </is>
      </c>
    </row>
    <row r="30">
      <c r="A30" s="111" t="inlineStr">
        <is>
          <t>A partner can raise your cash-on-cash and still be the wrong deal: their return is fixed and yours is what is left over.</t>
        </is>
      </c>
    </row>
    <row r="32">
      <c r="A32" s="125" t="inlineStr">
        <is>
          <t>5. AT THE EXIT — refinance or sale, paid in this order</t>
        </is>
      </c>
      <c r="B32" s="113" t="n"/>
      <c r="C32" s="113" t="n"/>
      <c r="D32" s="113" t="n"/>
    </row>
    <row r="33">
      <c r="A33" t="inlineStr">
        <is>
          <t>Proceeds available ★</t>
        </is>
      </c>
      <c r="B33" s="114" t="n"/>
      <c r="C33" s="111" t="inlineStr">
        <is>
          <t>Refi cash-out, or net sale proceeds after loan payoff and costs</t>
        </is>
      </c>
    </row>
    <row r="34">
      <c r="A34" t="inlineStr">
        <is>
          <t>1st — accrued preferred still owed ★</t>
        </is>
      </c>
      <c r="B34" s="114" t="n"/>
      <c r="C34" s="111" t="inlineStr">
        <is>
          <t>Zero if it was paid current all along</t>
        </is>
      </c>
    </row>
    <row r="35">
      <c r="A35" t="inlineStr">
        <is>
          <t>2nd — return of the partner's capital</t>
        </is>
      </c>
      <c r="B35" s="119">
        <f>IFERROR(B7,"—")</f>
        <v/>
      </c>
    </row>
    <row r="36">
      <c r="A36" s="120" t="inlineStr">
        <is>
          <t>Left to split</t>
        </is>
      </c>
      <c r="B36" s="121">
        <f>IFERROR(MAX(0,B33-B34-B35),"—")</f>
        <v/>
      </c>
    </row>
    <row r="37">
      <c r="A37" t="inlineStr">
        <is>
          <t>Partner's share of what is left ★</t>
        </is>
      </c>
      <c r="B37" s="116" t="n">
        <v>0</v>
      </c>
      <c r="C37" s="111" t="inlineStr">
        <is>
          <t>Often 0 on a straight pref. Above 0 they also share the upside.</t>
        </is>
      </c>
    </row>
    <row r="38">
      <c r="A38" t="inlineStr">
        <is>
          <t>To the partner</t>
        </is>
      </c>
      <c r="B38" s="119">
        <f>IFERROR(B36*B37,"—")</f>
        <v/>
      </c>
    </row>
    <row r="39">
      <c r="A39" s="120" t="inlineStr">
        <is>
          <t>TO YOU</t>
        </is>
      </c>
      <c r="B39" s="121">
        <f>IFERROR(B36-B38,"—")</f>
        <v/>
      </c>
    </row>
    <row r="40">
      <c r="A40" t="inlineStr">
        <is>
          <t>Partner total out</t>
        </is>
      </c>
      <c r="B40" s="119">
        <f>IFERROR(B34+B35+B38,"—")</f>
        <v/>
      </c>
    </row>
    <row r="41">
      <c r="A41" s="120" t="inlineStr">
        <is>
          <t>EXIT CHECK</t>
        </is>
      </c>
      <c r="B41" s="120">
        <f>IFERROR(IF(B33&lt;B34+B35,"PROCEEDS DO NOT COVER THE PREFERRED — short "&amp;TEXT(B34+B35-B33,"$#,##0")&amp;". You get nothing and may still owe them.","Preferred is made whole; the rest is yours per the split above."),"—")</f>
        <v/>
      </c>
    </row>
    <row r="43">
      <c r="A43" s="111" t="inlineStr">
        <is>
          <t>Order matters and it is not negotiable at the exit: accrued preferred, then their capital back, then whatever is left.</t>
        </is>
      </c>
    </row>
    <row r="44">
      <c r="A44" s="111" t="inlineStr">
        <is>
          <t>Preferred equity is not a partner sharing your risk. It behaves like debt that sits behind the lender — they get paid whether the deal performs or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Zoxiro</dc:creator>
  <dc:language xmlns:dc="http://purl.org/dc/elements/1.1/">en-US</dc:language>
  <dcterms:created xmlns:dcterms="http://purl.org/dc/terms/" xmlns:xsi="http://www.w3.org/2001/XMLSchema-instance" xsi:type="dcterms:W3CDTF">2026-05-07T15:52:24Z</dcterms:created>
  <dcterms:modified xmlns:dcterms="http://purl.org/dc/terms/" xmlns:xsi="http://www.w3.org/2001/XMLSchema-instance" xsi:type="dcterms:W3CDTF">2026-09-22T15:28:03Z</dcterms:modified>
  <cp:revision>0</cp:revision>
</cp:coreProperties>
</file>