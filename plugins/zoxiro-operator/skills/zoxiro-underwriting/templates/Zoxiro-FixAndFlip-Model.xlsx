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x &amp; Flip" sheetId="1" state="visible" r:id="rId1"/>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3864"/>
      </patternFill>
    </fill>
    <fill>
      <patternFill patternType="solid">
        <fgColor rgb="002E5496"/>
      </patternFill>
    </fill>
    <fill>
      <patternFill patternType="solid">
        <fgColor rgb="00DCE6F1"/>
      </patternFill>
    </fill>
    <fill>
      <patternFill patternType="solid">
        <fgColor rgb="00FFF2CC"/>
      </patternFill>
    </fill>
    <fill>
      <patternFill patternType="solid">
        <fgColor rgb="00E2EFDA"/>
      </patternFill>
    </fill>
  </fills>
  <borders count="2">
    <border>
      <left/>
      <right/>
      <top/>
      <bottom/>
      <diagonal/>
    </border>
    <border>
      <bottom style="thin">
        <color rgb="00BBBBBB"/>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xf>
    <xf numFmtId="0" fontId="1" fillId="3" borderId="0" applyAlignment="1" pivotButton="0" quotePrefix="0" xfId="0">
      <alignment horizontal="left"/>
    </xf>
    <xf numFmtId="0" fontId="1" fillId="3" borderId="0" pivotButton="0" quotePrefix="0" xfId="0"/>
    <xf numFmtId="0" fontId="2" fillId="4" borderId="0" pivotButton="0" quotePrefix="0" xfId="0"/>
    <xf numFmtId="0" fontId="0" fillId="0" borderId="1" pivotButton="0" quotePrefix="0" xfId="0"/>
    <xf numFmtId="164" fontId="0" fillId="5" borderId="1" pivotButton="0" quotePrefix="0" xfId="0"/>
    <xf numFmtId="164" fontId="0" fillId="0" borderId="1" pivotButton="0" quotePrefix="0" xfId="0"/>
    <xf numFmtId="165" fontId="0" fillId="5" borderId="1" pivotButton="0" quotePrefix="0" xfId="0"/>
    <xf numFmtId="165" fontId="0" fillId="0" borderId="1" pivotButton="0" quotePrefix="0" xfId="0"/>
    <xf numFmtId="1" fontId="0" fillId="5" borderId="1" pivotButton="0" quotePrefix="0" xfId="0"/>
    <xf numFmtId="1" fontId="0" fillId="0" borderId="1" pivotButton="0" quotePrefix="0" xfId="0"/>
    <xf numFmtId="165" fontId="0" fillId="5" borderId="0" pivotButton="0" quotePrefix="0" xfId="0"/>
    <xf numFmtId="0" fontId="2" fillId="0" borderId="1" pivotButton="0" quotePrefix="0" xfId="0"/>
    <xf numFmtId="164" fontId="2" fillId="0" borderId="1" pivotButton="0" quotePrefix="0" xfId="0"/>
    <xf numFmtId="164" fontId="2" fillId="6" borderId="1" pivotButton="0" quotePrefix="0" xfId="0"/>
    <xf numFmtId="165" fontId="0" fillId="6" borderId="1" pivotButton="0" quotePrefix="0" xfId="0"/>
    <xf numFmtId="164" fontId="0" fillId="0" borderId="0" pivotButton="0" quotePrefix="0" xfId="0"/>
    <xf numFmtId="164" fontId="0" fillId="5" borderId="0" pivotButton="0" quotePrefix="0" xfId="0"/>
    <xf numFmtId="0" fontId="2" fillId="0" borderId="0" pivotButton="0" quotePrefix="0" xfId="0"/>
    <xf numFmtId="165" fontId="2" fillId="0" borderId="0" pivotButton="0" quotePrefix="0" xfId="0"/>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42" customWidth="1" min="1" max="1"/>
    <col width="18" customWidth="1" min="2" max="2"/>
    <col width="18" customWidth="1" min="3" max="3"/>
    <col width="30" customWidth="1" min="4" max="4"/>
  </cols>
  <sheetData>
    <row r="1">
      <c r="A1" s="1" t="inlineStr">
        <is>
          <t>ZOXIRO — FIX &amp; FLIP CALCULATOR</t>
        </is>
      </c>
    </row>
    <row r="2">
      <c r="A2" s="2" t="inlineStr">
        <is>
          <t>Standard hard-money flip vs. creative / seller-financed flip (low-to-no cash in)</t>
        </is>
      </c>
    </row>
    <row r="4">
      <c r="A4" s="3" t="inlineStr">
        <is>
          <t>DEAL INPUTS (shared)  — yellow = enter your numbers</t>
        </is>
      </c>
    </row>
    <row r="5">
      <c r="A5" s="4" t="inlineStr">
        <is>
          <t>Line Item</t>
        </is>
      </c>
      <c r="B5" s="4" t="inlineStr">
        <is>
          <t>Standard Flip</t>
        </is>
      </c>
      <c r="C5" s="4" t="inlineStr">
        <is>
          <t>Creative / Seller-Financed Flip</t>
        </is>
      </c>
      <c r="D5" s="4" t="inlineStr">
        <is>
          <t>Notes</t>
        </is>
      </c>
    </row>
    <row r="6">
      <c r="A6" s="5" t="inlineStr">
        <is>
          <t>After-Repair Value (ARV)</t>
        </is>
      </c>
      <c r="B6" s="6" t="n">
        <v>0</v>
      </c>
      <c r="C6" s="7">
        <f>B6</f>
        <v/>
      </c>
    </row>
    <row r="7">
      <c r="A7" s="5" t="inlineStr">
        <is>
          <t>Purchase Price</t>
        </is>
      </c>
      <c r="B7" s="6" t="n">
        <v>0</v>
      </c>
      <c r="C7" s="7">
        <f>B7</f>
        <v/>
      </c>
    </row>
    <row r="8">
      <c r="A8" s="5" t="inlineStr">
        <is>
          <t>Rehab Budget</t>
        </is>
      </c>
      <c r="B8" s="6" t="n">
        <v>0</v>
      </c>
      <c r="C8" s="7">
        <f>B8</f>
        <v/>
      </c>
    </row>
    <row r="9">
      <c r="A9" s="5" t="inlineStr">
        <is>
          <t>Rehab Contingency %</t>
        </is>
      </c>
      <c r="B9" s="8" t="n">
        <v>0.1</v>
      </c>
      <c r="C9" s="9">
        <f>B9</f>
        <v/>
      </c>
      <c r="D9" t="inlineStr">
        <is>
          <t>Buffer on rehab (default 10%)</t>
        </is>
      </c>
    </row>
    <row r="10">
      <c r="A10" s="5" t="inlineStr">
        <is>
          <t>Holding Period (months)</t>
        </is>
      </c>
      <c r="B10" s="10" t="n">
        <v>6</v>
      </c>
      <c r="C10" s="11">
        <f>B10</f>
        <v/>
      </c>
      <c r="D10" t="inlineStr">
        <is>
          <t>Buy to sale — YOU choose it. 6 months is the default, not a rule.</t>
        </is>
      </c>
    </row>
    <row r="11">
      <c r="A11" s="5" t="inlineStr">
        <is>
          <t>Annual Property Tax</t>
        </is>
      </c>
      <c r="B11" s="6" t="n">
        <v>0</v>
      </c>
      <c r="C11" s="7">
        <f>B11</f>
        <v/>
      </c>
      <c r="D11" t="inlineStr">
        <is>
          <t>Required. A vacant house is still taxed.</t>
        </is>
      </c>
    </row>
    <row r="12">
      <c r="A12" s="5" t="inlineStr">
        <is>
          <t>Annual Insurance</t>
        </is>
      </c>
      <c r="B12" s="6" t="n">
        <v>0</v>
      </c>
      <c r="C12" s="7">
        <f>B12</f>
        <v/>
      </c>
      <c r="D12" t="inlineStr">
        <is>
          <t>Required. Vacant/builder's-risk runs higher than an owner policy.</t>
        </is>
      </c>
    </row>
    <row r="13">
      <c r="A13" s="5" t="inlineStr">
        <is>
          <t>Monthly Utilities</t>
        </is>
      </c>
      <c r="B13" s="6" t="n">
        <v>0</v>
      </c>
      <c r="C13" s="7">
        <f>B13</f>
        <v/>
      </c>
      <c r="D13" t="inlineStr">
        <is>
          <t>Gas, electric, water/sewer, trash. Required — you keep them on.</t>
        </is>
      </c>
    </row>
    <row r="14">
      <c r="A14" s="5" t="inlineStr">
        <is>
          <t>Monthly Lawn / Snow / Maintenance</t>
        </is>
      </c>
      <c r="B14" s="6" t="n">
        <v>0</v>
      </c>
      <c r="C14" s="7">
        <f>B14</f>
        <v/>
      </c>
      <c r="D14" t="inlineStr">
        <is>
          <t>Mowing, snow removal, winterizing. Rarely $0 on a vacant house.</t>
        </is>
      </c>
    </row>
    <row r="15">
      <c r="A15" s="5" t="inlineStr">
        <is>
          <t>Monthly HOA / Condo Dues</t>
        </is>
      </c>
      <c r="B15" s="6" t="n">
        <v>0</v>
      </c>
      <c r="C15" s="7">
        <f>B15</f>
        <v/>
      </c>
      <c r="D15" t="inlineStr">
        <is>
          <t>$0 on most SFR. Never guess it on a condo or platted community.</t>
        </is>
      </c>
    </row>
    <row r="16">
      <c r="A16" s="5" t="inlineStr">
        <is>
          <t>Monthly Other Carrying</t>
        </is>
      </c>
      <c r="B16" s="6" t="n">
        <v>0</v>
      </c>
      <c r="C16" s="7">
        <f>B16</f>
        <v/>
      </c>
      <c r="D16" t="inlineStr">
        <is>
          <t>Alarm/monitoring, board-up, dumpster, storage — anything monthly.</t>
        </is>
      </c>
    </row>
    <row r="17">
      <c r="A17" s="5" t="inlineStr">
        <is>
          <t>Agent Commission % (on sale)</t>
        </is>
      </c>
      <c r="B17" s="8" t="n">
        <v>0.06</v>
      </c>
      <c r="C17" s="9">
        <f>B17</f>
        <v/>
      </c>
    </row>
    <row r="18">
      <c r="A18" s="5" t="inlineStr">
        <is>
          <t>Closing / Concessions % (on sale)</t>
        </is>
      </c>
      <c r="B18" s="8" t="n">
        <v>0.02</v>
      </c>
      <c r="C18" s="9">
        <f>B18</f>
        <v/>
      </c>
    </row>
    <row r="19">
      <c r="A19" s="5" t="n"/>
      <c r="B19" s="8" t="n"/>
      <c r="C19" s="9" t="n"/>
    </row>
    <row r="20">
      <c r="A20" t="inlineStr">
        <is>
          <t>Buy-Side Closing Costs % (on purchase)</t>
        </is>
      </c>
      <c r="B20" t="n">
        <v>0.015</v>
      </c>
      <c r="C20" t="n">
        <v>0.015</v>
      </c>
      <c r="D20" t="inlineStr">
        <is>
          <t>Title, escrow, lender fees on the BUY side. Often forgotten.</t>
        </is>
      </c>
    </row>
    <row r="21">
      <c r="A21" s="3" t="inlineStr">
        <is>
          <t>FINANCING (differs by strategy)  — yellow = editable</t>
        </is>
      </c>
    </row>
    <row r="22">
      <c r="A22" t="inlineStr">
        <is>
          <t>Purchase financed %</t>
        </is>
      </c>
      <c r="B22" s="12" t="n">
        <v>0.9</v>
      </c>
      <c r="C22" s="12" t="n">
        <v>1</v>
      </c>
      <c r="D22" t="inlineStr">
        <is>
          <t>Standard: hard money ~90%. Creative: seller carry / Sub-To ~100%</t>
        </is>
      </c>
    </row>
    <row r="23">
      <c r="A23" t="inlineStr">
        <is>
          <t>Rehab financed %</t>
        </is>
      </c>
      <c r="B23" s="12" t="n">
        <v>1</v>
      </c>
      <c r="C23" s="12" t="n">
        <v>1</v>
      </c>
      <c r="D23" t="inlineStr">
        <is>
          <t>Usually 100% (HML draw or gap funding)</t>
        </is>
      </c>
    </row>
    <row r="24">
      <c r="A24" t="inlineStr">
        <is>
          <t>Points / Funding Fee %</t>
        </is>
      </c>
      <c r="B24" s="12" t="n">
        <v>0.02</v>
      </c>
      <c r="C24" s="12" t="n">
        <v>0.025</v>
      </c>
      <c r="D24" t="inlineStr">
        <is>
          <t>Standard: hard-money points. Creative: your transactional funder's fee</t>
        </is>
      </c>
    </row>
    <row r="25">
      <c r="A25" t="inlineStr">
        <is>
          <t>Interest Rate (annual, hold)</t>
        </is>
      </c>
      <c r="B25" s="12" t="n">
        <v>0.1</v>
      </c>
      <c r="C25" s="12" t="n">
        <v>0</v>
      </c>
      <c r="D25" t="inlineStr">
        <is>
          <t>Creative: seller-carry rate is often 0%; the funding gap is returned fast</t>
        </is>
      </c>
    </row>
    <row r="26">
      <c r="A26" t="inlineStr">
        <is>
          <t>Buy-Side Closing Costs $</t>
        </is>
      </c>
      <c r="B26">
        <f>B7*B20</f>
        <v/>
      </c>
      <c r="C26">
        <f>C7*C20</f>
        <v/>
      </c>
      <c r="D26" t="inlineStr">
        <is>
          <t>Purchase price × buy-side closing %</t>
        </is>
      </c>
    </row>
    <row r="27">
      <c r="A27" s="3" t="inlineStr">
        <is>
          <t>COST BUILD-UP</t>
        </is>
      </c>
    </row>
    <row r="28">
      <c r="A28" s="5" t="inlineStr">
        <is>
          <t>Total Rehab (with contingency)</t>
        </is>
      </c>
      <c r="B28" s="7">
        <f>B8*(1+B9)</f>
        <v/>
      </c>
      <c r="C28" s="7">
        <f>C8*(1+C9)</f>
        <v/>
      </c>
    </row>
    <row r="29">
      <c r="A29" s="5" t="inlineStr">
        <is>
          <t>Cash to Acquire (down / entry)</t>
        </is>
      </c>
      <c r="B29" s="7">
        <f>B7*(1-B22)</f>
        <v/>
      </c>
      <c r="C29" s="7">
        <f>C7*(1-C22)</f>
        <v/>
      </c>
      <c r="D29" t="inlineStr">
        <is>
          <t>Creative ≈ $0 down (seller carry / Sub-To)</t>
        </is>
      </c>
    </row>
    <row r="30">
      <c r="A30" s="5" t="inlineStr">
        <is>
          <t>Amount Financed (purchase + rehab)</t>
        </is>
      </c>
      <c r="B30" s="7">
        <f>B7*B22+B28*B23</f>
        <v/>
      </c>
      <c r="C30" s="7">
        <f>C7*C22+C28*C23</f>
        <v/>
      </c>
    </row>
    <row r="31">
      <c r="A31" s="5" t="inlineStr">
        <is>
          <t>Points / Funding Fee $</t>
        </is>
      </c>
      <c r="B31" s="7">
        <f>B30*B24</f>
        <v/>
      </c>
      <c r="C31" s="7">
        <f>C30*C24</f>
        <v/>
      </c>
    </row>
    <row r="32">
      <c r="A32" s="5" t="inlineStr">
        <is>
          <t>Interest During Hold</t>
        </is>
      </c>
      <c r="B32" s="7">
        <f>B30*B25*(B10/12)</f>
        <v/>
      </c>
      <c r="C32" s="7">
        <f>C30*C25*(C10/12)</f>
        <v/>
      </c>
    </row>
    <row r="33">
      <c r="A33" s="5" t="inlineStr">
        <is>
          <t>Carrying Costs (over hold period)</t>
        </is>
      </c>
      <c r="B33" s="7">
        <f>(B11+B12+(B13+B14+B15+B16)*12)*(B10/12)</f>
        <v/>
      </c>
      <c r="C33" s="7">
        <f>(C11+C12+(C13+C14+C15+C16)*12)*(C10/12)</f>
        <v/>
      </c>
      <c r="D33">
        <f>IF(AND(B6&gt;0,(B11+B12+B13+B14+B15+B16)=0),"** CARRYING COSTS ARE ZERO - fill rows 11-16 **","Every cost of owning it for the months in row 10.")</f>
        <v/>
      </c>
    </row>
    <row r="34">
      <c r="A34" s="5" t="inlineStr">
        <is>
          <t>Selling Costs</t>
        </is>
      </c>
      <c r="B34" s="7">
        <f>B6*(B17+B18)</f>
        <v/>
      </c>
      <c r="C34" s="7">
        <f>C6*(C17+C18)</f>
        <v/>
      </c>
    </row>
    <row r="35">
      <c r="A35" s="13" t="inlineStr">
        <is>
          <t>ALL-IN COST</t>
        </is>
      </c>
      <c r="B35" s="14">
        <f>B7+B26+B28+B31+B32+B33+B34</f>
        <v/>
      </c>
      <c r="C35" s="14">
        <f>C7+C26+C28+C31+C32+C33+C34</f>
        <v/>
      </c>
      <c r="D35" t="inlineStr">
        <is>
          <t>Purchase + buy-side closing + rehab + points + interest + holding + selling</t>
        </is>
      </c>
    </row>
    <row r="37">
      <c r="A37" s="3" t="inlineStr">
        <is>
          <t>RESULTS</t>
        </is>
      </c>
    </row>
    <row r="38">
      <c r="A38" s="13" t="inlineStr">
        <is>
          <t>NET PROFIT</t>
        </is>
      </c>
      <c r="B38" s="15">
        <f>B6-B35</f>
        <v/>
      </c>
      <c r="C38" s="15">
        <f>C6-C35</f>
        <v/>
      </c>
    </row>
    <row r="39">
      <c r="A39" s="5" t="inlineStr">
        <is>
          <t>Profit Margin (profit / ARV)</t>
        </is>
      </c>
      <c r="B39" s="9">
        <f>IFERROR(IF(B6&gt;0,B38/B6,"—"),"—")</f>
        <v/>
      </c>
      <c r="C39" s="9">
        <f>IF(C6&gt;0,C38/C6,0)</f>
        <v/>
      </c>
    </row>
    <row r="40">
      <c r="A40" s="5" t="inlineStr">
        <is>
          <t>Cash Invested (out of pocket)</t>
        </is>
      </c>
      <c r="B40" s="7">
        <f>B29+B26+B31+B32+B33+B28*(1-B23)</f>
        <v/>
      </c>
      <c r="C40" s="7">
        <f>C29+C26+C31+C32+C33+C28*(1-C23)</f>
        <v/>
      </c>
      <c r="D40" t="inlineStr">
        <is>
          <t>Down + buy-side closing + points + interest + holding + any rehab you fund yourself</t>
        </is>
      </c>
    </row>
    <row r="41">
      <c r="A41" s="5" t="inlineStr">
        <is>
          <t>Cash-on-Cash Return</t>
        </is>
      </c>
      <c r="B41" s="16">
        <f>IF(B40&gt;0,B38/B40,"— no cash in")</f>
        <v/>
      </c>
      <c r="C41" s="16">
        <f>IF(C40&gt;0,C38/C40,"— no cash in")</f>
        <v/>
      </c>
    </row>
    <row r="42">
      <c r="A42" s="5" t="inlineStr">
        <is>
          <t>Annualized Cash-on-Cash</t>
        </is>
      </c>
      <c r="B42" s="9">
        <f>IF(B40&gt;0,(B38/B40)*(12/B10),"infinite")</f>
        <v/>
      </c>
      <c r="C42" s="9">
        <f>IF(C40&gt;0,(C38/C40)*(12/C10),"infinite")</f>
        <v/>
      </c>
    </row>
    <row r="44">
      <c r="A44" s="3" t="inlineStr">
        <is>
          <t>OFFER CHECK — Financed MAO (what you can actually pay)</t>
        </is>
      </c>
    </row>
    <row r="45">
      <c r="A45" s="5" t="inlineStr">
        <is>
          <t>Target Margin on All-In %</t>
        </is>
      </c>
      <c r="B45" s="8" t="n">
        <v>0.2</v>
      </c>
      <c r="C45" s="9">
        <f>B45</f>
        <v/>
      </c>
      <c r="D45" t="inlineStr">
        <is>
          <t>Profit must be &gt;= this % of ALL-IN cost. Drives your offer price.</t>
        </is>
      </c>
    </row>
    <row r="46">
      <c r="A46" s="5" t="inlineStr">
        <is>
          <t>Floor Margin on All-In %</t>
        </is>
      </c>
      <c r="B46" s="8" t="n">
        <v>0.15</v>
      </c>
      <c r="C46" s="9">
        <f>B46</f>
        <v/>
      </c>
      <c r="D46" t="inlineStr">
        <is>
          <t>Walk-away max. Below this = PASS.</t>
        </is>
      </c>
    </row>
    <row r="47">
      <c r="A47" t="inlineStr">
        <is>
          <t>Max All-In @ Target</t>
        </is>
      </c>
      <c r="B47" s="17">
        <f>IFERROR(B6/(1+B45),"—")</f>
        <v/>
      </c>
      <c r="C47" s="17">
        <f>IFERROR(C6/(1+C45),"—")</f>
        <v/>
      </c>
      <c r="D47" t="inlineStr">
        <is>
          <t>ARV/(1+margin) — most the whole deal may cost</t>
        </is>
      </c>
    </row>
    <row r="48">
      <c r="A48" s="3" t="inlineStr">
        <is>
          <t>Financed MAO @ Target (offer here)</t>
        </is>
      </c>
      <c r="B48" s="17">
        <f>IFERROR((B6/(1+B45)-B28*(1+B23*B24+B23*B25*(B10/12))-B33-B34)/(1+B20+B22*B24+B22*B25*(B10/12)),"—")</f>
        <v/>
      </c>
      <c r="C48" s="17">
        <f>IFERROR((C6/(1+C45)-C28*(1+C23*C24+C23*C25*(C10/12))-C33-C34)/(1+C20+C22*C24+C22*C25*(C10/12)),"—")</f>
        <v/>
      </c>
      <c r="D48" t="inlineStr">
        <is>
          <t>Solves purchase price back out of the full cost stack</t>
        </is>
      </c>
    </row>
    <row r="49">
      <c r="A49" t="inlineStr">
        <is>
          <t>Financed MAO @ Floor (absolute max)</t>
        </is>
      </c>
      <c r="B49" s="18">
        <f>IFERROR((B6/(1+B46)-B28*(1+B23*B24+B23*B25*(B10/12))-B33-B34)/(1+B20+B22*B24+B22*B25*(B10/12)),"—")</f>
        <v/>
      </c>
      <c r="C49" s="17">
        <f>IFERROR((C6/(1+C46)-C28*(1+C23*C24+C23*C25*(C10/12))-C33-C34)/(1+C20+C22*C24+C22*C25*(C10/12)),"—")</f>
        <v/>
      </c>
      <c r="D49" t="inlineStr">
        <is>
          <t>Stretch price on a deal you want</t>
        </is>
      </c>
    </row>
    <row r="50">
      <c r="A50" t="inlineStr">
        <is>
          <t>Gap (Purchase − MAO @ Target)</t>
        </is>
      </c>
      <c r="B50" s="18">
        <f>IFERROR(B7-B48,"—")</f>
        <v/>
      </c>
      <c r="C50" s="17">
        <f>IFERROR(C7-C48,"—")</f>
        <v/>
      </c>
      <c r="D50" t="inlineStr">
        <is>
          <t>Negative = at/under your target offer</t>
        </is>
      </c>
    </row>
    <row r="51">
      <c r="A51" s="19" t="inlineStr">
        <is>
          <t>Margin at this purchase price</t>
        </is>
      </c>
      <c r="B51" s="20">
        <f>IFERROR(IF(B35&gt;0,B38/B35,"—"),"—")</f>
        <v/>
      </c>
      <c r="C51" s="20">
        <f>IFERROR(IF(C35&gt;0,C38/C35,"—"),"—")</f>
        <v/>
      </c>
      <c r="D51" t="inlineStr">
        <is>
          <t>Net profit / all-in. Compare to the target and floor above.</t>
        </is>
      </c>
    </row>
    <row r="52">
      <c r="A52" s="3" t="inlineStr">
        <is>
          <t>VERDICT</t>
        </is>
      </c>
    </row>
    <row r="53">
      <c r="A53" s="21" t="n"/>
      <c r="B53" s="22" t="n"/>
      <c r="C53" s="22" t="n"/>
    </row>
    <row r="54">
      <c r="A54" t="inlineStr">
        <is>
          <t>VERDICT</t>
        </is>
      </c>
      <c r="B54">
        <f>IFERROR(IF(N(B51)=0,"—",IF(ROUND(B51,4)&gt;=ROUND(B45,4),"STRONG — DO DILIGENCE",IF(ROUND(B51,4)&gt;=ROUND(B46,4),"NEGOTIATE","PASS — margin below floor"))),"—")</f>
        <v/>
      </c>
      <c r="C54">
        <f>IFERROR(IF(N(C51)=0,"—",IF(ROUND(C51,4)&gt;=ROUND(C45,4),"STRONG — DO DILIGENCE",IF(ROUND(C51,4)&gt;=ROUND(C46,4),"NEGOTIATE","PASS — margin below floor"))),"—")</f>
        <v/>
      </c>
    </row>
    <row r="56">
      <c r="A56" s="3" t="inlineStr">
        <is>
          <t>Creative finance — the trade-off</t>
        </is>
      </c>
    </row>
    <row r="57">
      <c r="A57" t="inlineStr">
        <is>
          <t>Trade-off, not a free lunch: a creative structure reduces the cash you put in, not the risk you take. Sub-To leaves the seller's existing loan in place and exposed to a due-on-sale call — model what happens if it is called. Seller carry requires the seller to agree and to understand what they are signing. Transactional funding must be repaid the same day, so there is no plan B if the exit slips. Any carry, subordinate lien, or cash back to the buyer must be disclosed to and approved by the senior lender in writing and shown on the settlement statement. Model both columns, then decide.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2026-09-16T18:25:50Z</dcterms:created>
  <dcterms:modified xmlns:dcterms="http://purl.org/dc/terms/" xmlns:xsi="http://www.w3.org/2001/XMLSchema-instance" xsi:type="dcterms:W3CDTF">2026-09-16T18:26:47Z</dcterms:modified>
</cp:coreProperties>
</file>